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FCC6C3CA-550C-4B0F-A542-ACB6B1C53756}" xr6:coauthVersionLast="47" xr6:coauthVersionMax="47" xr10:uidLastSave="{00000000-0000-0000-0000-000000000000}"/>
  <bookViews>
    <workbookView xWindow="-108" yWindow="-108" windowWidth="23256" windowHeight="11892" tabRatio="500" activeTab="2" xr2:uid="{00000000-000D-0000-FFFF-FFFF00000000}"/>
  </bookViews>
  <sheets>
    <sheet name="MIS_Data" sheetId="1" r:id="rId1"/>
    <sheet name="MIS_Analysis" sheetId="2" r:id="rId2"/>
    <sheet name="MIS_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H28" i="2"/>
  <c r="B27" i="2"/>
  <c r="D19" i="2"/>
  <c r="F9" i="2"/>
  <c r="F8" i="2"/>
  <c r="F7" i="2"/>
  <c r="F6" i="2"/>
  <c r="P31" i="1"/>
  <c r="N72" i="3" s="1"/>
  <c r="O31" i="1"/>
  <c r="N31" i="1"/>
  <c r="M31" i="1"/>
  <c r="O30" i="1"/>
  <c r="N30" i="1"/>
  <c r="M30" i="1"/>
  <c r="P30" i="1" s="1"/>
  <c r="N71" i="3" s="1"/>
  <c r="O29" i="1"/>
  <c r="N29" i="1"/>
  <c r="M29" i="1"/>
  <c r="P29" i="1" s="1"/>
  <c r="N70" i="3" s="1"/>
  <c r="O28" i="1"/>
  <c r="N28" i="1"/>
  <c r="M28" i="1"/>
  <c r="P28" i="1" s="1"/>
  <c r="N69" i="3" s="1"/>
  <c r="P27" i="1"/>
  <c r="N68" i="3" s="1"/>
  <c r="O27" i="1"/>
  <c r="N27" i="1"/>
  <c r="M27" i="1"/>
  <c r="O26" i="1"/>
  <c r="N26" i="1"/>
  <c r="M26" i="1"/>
  <c r="P26" i="1" s="1"/>
  <c r="N67" i="3" s="1"/>
  <c r="O25" i="1"/>
  <c r="N25" i="1"/>
  <c r="M25" i="1"/>
  <c r="L66" i="3" s="1"/>
  <c r="P24" i="1"/>
  <c r="O24" i="1"/>
  <c r="N24" i="1"/>
  <c r="M24" i="1"/>
  <c r="O23" i="1"/>
  <c r="N23" i="1"/>
  <c r="M23" i="1"/>
  <c r="P23" i="1" s="1"/>
  <c r="N64" i="3" s="1"/>
  <c r="O22" i="1"/>
  <c r="N22" i="1"/>
  <c r="M22" i="1"/>
  <c r="P22" i="1" s="1"/>
  <c r="N63" i="3" s="1"/>
  <c r="O21" i="1"/>
  <c r="N21" i="1"/>
  <c r="M21" i="1"/>
  <c r="L62" i="3" s="1"/>
  <c r="P20" i="1"/>
  <c r="N61" i="3" s="1"/>
  <c r="O20" i="1"/>
  <c r="N20" i="1"/>
  <c r="M20" i="1"/>
  <c r="O19" i="1"/>
  <c r="N19" i="1"/>
  <c r="M19" i="1"/>
  <c r="P19" i="1" s="1"/>
  <c r="N60" i="3" s="1"/>
  <c r="O18" i="1"/>
  <c r="N18" i="1"/>
  <c r="M18" i="1"/>
  <c r="P18" i="1" s="1"/>
  <c r="N59" i="3" s="1"/>
  <c r="P17" i="1"/>
  <c r="N58" i="3" s="1"/>
  <c r="O17" i="1"/>
  <c r="N17" i="1"/>
  <c r="M17" i="1"/>
  <c r="O16" i="1"/>
  <c r="N16" i="1"/>
  <c r="M16" i="1"/>
  <c r="P16" i="1" s="1"/>
  <c r="N57" i="3" s="1"/>
  <c r="O15" i="1"/>
  <c r="N15" i="1"/>
  <c r="M15" i="1"/>
  <c r="P15" i="1" s="1"/>
  <c r="N56" i="3" s="1"/>
  <c r="O14" i="1"/>
  <c r="N14" i="1"/>
  <c r="M14" i="1"/>
  <c r="P14" i="1" s="1"/>
  <c r="N55" i="3" s="1"/>
  <c r="P13" i="1"/>
  <c r="N54" i="3" s="1"/>
  <c r="O13" i="1"/>
  <c r="N13" i="1"/>
  <c r="M13" i="1"/>
  <c r="O12" i="1"/>
  <c r="N12" i="1"/>
  <c r="M12" i="1"/>
  <c r="P12" i="1" s="1"/>
  <c r="N53" i="3" s="1"/>
  <c r="O11" i="1"/>
  <c r="N11" i="1"/>
  <c r="M11" i="1"/>
  <c r="L52" i="3" s="1"/>
  <c r="P10" i="1"/>
  <c r="O10" i="1"/>
  <c r="N10" i="1"/>
  <c r="M10" i="1"/>
  <c r="O9" i="1"/>
  <c r="N9" i="1"/>
  <c r="M9" i="1"/>
  <c r="P9" i="1" s="1"/>
  <c r="N50" i="3" s="1"/>
  <c r="O8" i="1"/>
  <c r="N8" i="1"/>
  <c r="M8" i="1"/>
  <c r="P8" i="1" s="1"/>
  <c r="N49" i="3" s="1"/>
  <c r="O7" i="1"/>
  <c r="N7" i="1"/>
  <c r="M7" i="1"/>
  <c r="P7" i="1" s="1"/>
  <c r="N48" i="3" s="1"/>
  <c r="P6" i="1"/>
  <c r="N47" i="3" s="1"/>
  <c r="O6" i="1"/>
  <c r="N6" i="1"/>
  <c r="M6" i="1"/>
  <c r="O5" i="1"/>
  <c r="N5" i="1"/>
  <c r="M5" i="1"/>
  <c r="P5" i="1" s="1"/>
  <c r="N46" i="3" s="1"/>
  <c r="O4" i="1"/>
  <c r="N4" i="1"/>
  <c r="M4" i="1"/>
  <c r="P4" i="1" s="1"/>
  <c r="N45" i="3" s="1"/>
  <c r="P3" i="1"/>
  <c r="N44" i="3" s="1"/>
  <c r="O3" i="1"/>
  <c r="N3" i="1"/>
  <c r="M3" i="1"/>
  <c r="O2" i="1"/>
  <c r="N2" i="1"/>
  <c r="M2" i="1"/>
  <c r="P2" i="1" s="1"/>
  <c r="N43" i="3" s="1"/>
  <c r="L72" i="3"/>
  <c r="J72" i="3"/>
  <c r="H72" i="3"/>
  <c r="F72" i="3"/>
  <c r="D72" i="3"/>
  <c r="B72" i="3"/>
  <c r="L71" i="3"/>
  <c r="J71" i="3"/>
  <c r="H71" i="3"/>
  <c r="F71" i="3"/>
  <c r="D71" i="3"/>
  <c r="B71" i="3"/>
  <c r="J70" i="3"/>
  <c r="H70" i="3"/>
  <c r="F70" i="3"/>
  <c r="D70" i="3"/>
  <c r="B70" i="3"/>
  <c r="L69" i="3"/>
  <c r="J69" i="3"/>
  <c r="H69" i="3"/>
  <c r="F69" i="3"/>
  <c r="D69" i="3"/>
  <c r="B69" i="3"/>
  <c r="L68" i="3"/>
  <c r="J68" i="3"/>
  <c r="H68" i="3"/>
  <c r="F68" i="3"/>
  <c r="D68" i="3"/>
  <c r="B68" i="3"/>
  <c r="L67" i="3"/>
  <c r="J67" i="3"/>
  <c r="H67" i="3"/>
  <c r="F67" i="3"/>
  <c r="D67" i="3"/>
  <c r="B67" i="3"/>
  <c r="J66" i="3"/>
  <c r="H66" i="3"/>
  <c r="F66" i="3"/>
  <c r="D66" i="3"/>
  <c r="B66" i="3"/>
  <c r="N65" i="3"/>
  <c r="L65" i="3"/>
  <c r="J65" i="3"/>
  <c r="H65" i="3"/>
  <c r="F65" i="3"/>
  <c r="D65" i="3"/>
  <c r="B65" i="3"/>
  <c r="L64" i="3"/>
  <c r="J64" i="3"/>
  <c r="H64" i="3"/>
  <c r="F64" i="3"/>
  <c r="D64" i="3"/>
  <c r="B64" i="3"/>
  <c r="L63" i="3"/>
  <c r="J63" i="3"/>
  <c r="H63" i="3"/>
  <c r="F63" i="3"/>
  <c r="D63" i="3"/>
  <c r="B63" i="3"/>
  <c r="J62" i="3"/>
  <c r="H62" i="3"/>
  <c r="F62" i="3"/>
  <c r="D62" i="3"/>
  <c r="B62" i="3"/>
  <c r="L61" i="3"/>
  <c r="J61" i="3"/>
  <c r="H61" i="3"/>
  <c r="F61" i="3"/>
  <c r="D61" i="3"/>
  <c r="B61" i="3"/>
  <c r="L60" i="3"/>
  <c r="J60" i="3"/>
  <c r="H60" i="3"/>
  <c r="F60" i="3"/>
  <c r="D60" i="3"/>
  <c r="B60" i="3"/>
  <c r="L59" i="3"/>
  <c r="J59" i="3"/>
  <c r="H59" i="3"/>
  <c r="F59" i="3"/>
  <c r="D59" i="3"/>
  <c r="B59" i="3"/>
  <c r="L58" i="3"/>
  <c r="J58" i="3"/>
  <c r="H58" i="3"/>
  <c r="F58" i="3"/>
  <c r="D58" i="3"/>
  <c r="B58" i="3"/>
  <c r="L57" i="3"/>
  <c r="J57" i="3"/>
  <c r="H57" i="3"/>
  <c r="F57" i="3"/>
  <c r="D57" i="3"/>
  <c r="B57" i="3"/>
  <c r="J56" i="3"/>
  <c r="H56" i="3"/>
  <c r="F56" i="3"/>
  <c r="D56" i="3"/>
  <c r="B56" i="3"/>
  <c r="L55" i="3"/>
  <c r="J55" i="3"/>
  <c r="H55" i="3"/>
  <c r="F55" i="3"/>
  <c r="D55" i="3"/>
  <c r="B55" i="3"/>
  <c r="L54" i="3"/>
  <c r="J54" i="3"/>
  <c r="H54" i="3"/>
  <c r="F54" i="3"/>
  <c r="D54" i="3"/>
  <c r="B54" i="3"/>
  <c r="L53" i="3"/>
  <c r="J53" i="3"/>
  <c r="H53" i="3"/>
  <c r="F53" i="3"/>
  <c r="D53" i="3"/>
  <c r="B53" i="3"/>
  <c r="J52" i="3"/>
  <c r="H52" i="3"/>
  <c r="F52" i="3"/>
  <c r="D52" i="3"/>
  <c r="B52" i="3"/>
  <c r="N51" i="3"/>
  <c r="L51" i="3"/>
  <c r="J51" i="3"/>
  <c r="H51" i="3"/>
  <c r="F51" i="3"/>
  <c r="D51" i="3"/>
  <c r="B51" i="3"/>
  <c r="L50" i="3"/>
  <c r="J50" i="3"/>
  <c r="H50" i="3"/>
  <c r="F50" i="3"/>
  <c r="D50" i="3"/>
  <c r="B50" i="3"/>
  <c r="L49" i="3"/>
  <c r="J49" i="3"/>
  <c r="H49" i="3"/>
  <c r="F49" i="3"/>
  <c r="D49" i="3"/>
  <c r="B49" i="3"/>
  <c r="J48" i="3"/>
  <c r="H48" i="3"/>
  <c r="F48" i="3"/>
  <c r="D48" i="3"/>
  <c r="B48" i="3"/>
  <c r="L47" i="3"/>
  <c r="J47" i="3"/>
  <c r="H47" i="3"/>
  <c r="F47" i="3"/>
  <c r="D47" i="3"/>
  <c r="B47" i="3"/>
  <c r="L46" i="3"/>
  <c r="J46" i="3"/>
  <c r="H46" i="3"/>
  <c r="F46" i="3"/>
  <c r="D46" i="3"/>
  <c r="B46" i="3"/>
  <c r="L45" i="3"/>
  <c r="J45" i="3"/>
  <c r="H45" i="3"/>
  <c r="F45" i="3"/>
  <c r="D45" i="3"/>
  <c r="B45" i="3"/>
  <c r="L44" i="3"/>
  <c r="J44" i="3"/>
  <c r="H44" i="3"/>
  <c r="F44" i="3"/>
  <c r="D44" i="3"/>
  <c r="B44" i="3"/>
  <c r="L43" i="3"/>
  <c r="J43" i="3"/>
  <c r="H43" i="3"/>
  <c r="F43" i="3"/>
  <c r="D43" i="3"/>
  <c r="B43" i="3"/>
  <c r="B7" i="3" l="1"/>
  <c r="H15" i="2"/>
  <c r="I15" i="2"/>
  <c r="B16" i="2"/>
  <c r="D18" i="2"/>
  <c r="I27" i="2"/>
  <c r="B28" i="2"/>
  <c r="C16" i="2"/>
  <c r="I28" i="2"/>
  <c r="P21" i="1"/>
  <c r="N62" i="3" s="1"/>
  <c r="D16" i="2"/>
  <c r="H16" i="2"/>
  <c r="H18" i="2" s="1"/>
  <c r="K7" i="3"/>
  <c r="P11" i="1"/>
  <c r="N52" i="3" s="1"/>
  <c r="P25" i="1"/>
  <c r="N66" i="3" s="1"/>
  <c r="N7" i="3"/>
  <c r="L48" i="3"/>
  <c r="L56" i="3"/>
  <c r="L70" i="3"/>
  <c r="B26" i="2"/>
  <c r="H17" i="2"/>
  <c r="H26" i="2"/>
  <c r="I16" i="2"/>
  <c r="B17" i="2"/>
  <c r="Q7" i="3"/>
  <c r="C17" i="2"/>
  <c r="B37" i="2"/>
  <c r="D17" i="2"/>
  <c r="B15" i="2"/>
  <c r="I17" i="2"/>
  <c r="I26" i="2"/>
  <c r="C15" i="2"/>
  <c r="B18" i="2"/>
  <c r="D15" i="2"/>
  <c r="C18" i="2"/>
  <c r="H27" i="2"/>
  <c r="B19" i="2"/>
  <c r="E7" i="3"/>
  <c r="C19" i="2"/>
  <c r="H7" i="3"/>
  <c r="I29" i="2" l="1"/>
  <c r="B20" i="2"/>
  <c r="I18" i="2"/>
  <c r="H29" i="2"/>
  <c r="B36" i="2"/>
  <c r="B35" i="2"/>
  <c r="D20" i="2"/>
  <c r="C20" i="2"/>
  <c r="B38" i="2" l="1"/>
</calcChain>
</file>

<file path=xl/sharedStrings.xml><?xml version="1.0" encoding="utf-8"?>
<sst xmlns="http://schemas.openxmlformats.org/spreadsheetml/2006/main" count="287" uniqueCount="134">
  <si>
    <t>Employee_ID</t>
  </si>
  <si>
    <t>Employee_Name</t>
  </si>
  <si>
    <t>Department</t>
  </si>
  <si>
    <t>City</t>
  </si>
  <si>
    <t>Month</t>
  </si>
  <si>
    <t>Channel</t>
  </si>
  <si>
    <t>Orders</t>
  </si>
  <si>
    <t>Revenue</t>
  </si>
  <si>
    <t>Target</t>
  </si>
  <si>
    <t>Actual_Sales</t>
  </si>
  <si>
    <t>Returns</t>
  </si>
  <si>
    <t>Complaints</t>
  </si>
  <si>
    <t>Achievement %</t>
  </si>
  <si>
    <t>Target Status</t>
  </si>
  <si>
    <t>Return Rate</t>
  </si>
  <si>
    <t>Performance</t>
  </si>
  <si>
    <t>EMP001</t>
  </si>
  <si>
    <t>Amit Sharma</t>
  </si>
  <si>
    <t>Sales</t>
  </si>
  <si>
    <t>Pune</t>
  </si>
  <si>
    <t>Jan</t>
  </si>
  <si>
    <t>Online</t>
  </si>
  <si>
    <t>EMP002</t>
  </si>
  <si>
    <t>Rahul Patil</t>
  </si>
  <si>
    <t>Mumbai</t>
  </si>
  <si>
    <t>EMP003</t>
  </si>
  <si>
    <t>Priya Shah</t>
  </si>
  <si>
    <t>Retail</t>
  </si>
  <si>
    <t>EMP004</t>
  </si>
  <si>
    <t>Neha Joshi</t>
  </si>
  <si>
    <t>HR</t>
  </si>
  <si>
    <t>Internal</t>
  </si>
  <si>
    <t>EMP005</t>
  </si>
  <si>
    <t>Rohit Kulkarni</t>
  </si>
  <si>
    <t>EMP006</t>
  </si>
  <si>
    <t>Sneha Deshmukh</t>
  </si>
  <si>
    <t>Bangalore</t>
  </si>
  <si>
    <t>EMP007</t>
  </si>
  <si>
    <t>Karan Mehta</t>
  </si>
  <si>
    <t>Finance</t>
  </si>
  <si>
    <t>EMP008</t>
  </si>
  <si>
    <t>Pooja Verma</t>
  </si>
  <si>
    <t>Feb</t>
  </si>
  <si>
    <t>EMP009</t>
  </si>
  <si>
    <t>Vikas More</t>
  </si>
  <si>
    <t>EMP010</t>
  </si>
  <si>
    <t>Anjali Rao</t>
  </si>
  <si>
    <t>EMP011</t>
  </si>
  <si>
    <t>Sahil Khan</t>
  </si>
  <si>
    <t>EMP012</t>
  </si>
  <si>
    <t>Meera Iyer</t>
  </si>
  <si>
    <t>EMP013</t>
  </si>
  <si>
    <t>Arjun Singh</t>
  </si>
  <si>
    <t>EMP014</t>
  </si>
  <si>
    <t>Nikita Jadhav</t>
  </si>
  <si>
    <t>Mar</t>
  </si>
  <si>
    <t>EMP015</t>
  </si>
  <si>
    <t>Aditya Pawar</t>
  </si>
  <si>
    <t>EMP016</t>
  </si>
  <si>
    <t>Riya Nair</t>
  </si>
  <si>
    <t>EMP017</t>
  </si>
  <si>
    <t>Manish Gupta</t>
  </si>
  <si>
    <t>EMP018</t>
  </si>
  <si>
    <t>Tanvi Kulkarni</t>
  </si>
  <si>
    <t>EMP019</t>
  </si>
  <si>
    <t>Akash Joshi</t>
  </si>
  <si>
    <t>EMP020</t>
  </si>
  <si>
    <t>Divya Desai</t>
  </si>
  <si>
    <t>EMP021</t>
  </si>
  <si>
    <t>Rohan Deshpande</t>
  </si>
  <si>
    <t>Apr</t>
  </si>
  <si>
    <t>EMP022</t>
  </si>
  <si>
    <t>Kavya Nair</t>
  </si>
  <si>
    <t>EMP023</t>
  </si>
  <si>
    <t>Varun Shah</t>
  </si>
  <si>
    <t>EMP024</t>
  </si>
  <si>
    <t>Simran Kaur</t>
  </si>
  <si>
    <t>EMP025</t>
  </si>
  <si>
    <t>Dev Malhotra</t>
  </si>
  <si>
    <t>EMP026</t>
  </si>
  <si>
    <t>Ishita Rao</t>
  </si>
  <si>
    <t>EMP027</t>
  </si>
  <si>
    <t>Manav Patil</t>
  </si>
  <si>
    <t>May</t>
  </si>
  <si>
    <t>EMP028</t>
  </si>
  <si>
    <t>Shreya Joshi</t>
  </si>
  <si>
    <t>EMP029</t>
  </si>
  <si>
    <t>Nikhil Verma</t>
  </si>
  <si>
    <t>EMP030</t>
  </si>
  <si>
    <t>Ananya Mehta</t>
  </si>
  <si>
    <t>MIS ANALYSIS – Summary Tables (PivotTable-style)</t>
  </si>
  <si>
    <t>Each table below is built from MIS_Data with SUMIFS / AVERAGEIFS / COUNTIFS and feeds one dashboard chart. They react to the 4 filters on MIS_Dashboard.</t>
  </si>
  <si>
    <t>Filter criteria (read from dashboard)</t>
  </si>
  <si>
    <t>Data quality checks</t>
  </si>
  <si>
    <t>'All' becomes * so SUMIFS matches every value</t>
  </si>
  <si>
    <t>Basic checks on MIS_Data</t>
  </si>
  <si>
    <t>Total records</t>
  </si>
  <si>
    <t>✔ expected 30</t>
  </si>
  <si>
    <t>Duplicate Employee IDs</t>
  </si>
  <si>
    <t>✔ expected 0</t>
  </si>
  <si>
    <t>Blank cells (raw columns)</t>
  </si>
  <si>
    <t>Non-numeric Revenue rows</t>
  </si>
  <si>
    <t>PivotTable 1 – Monthly Sales</t>
  </si>
  <si>
    <t>PivotTable 2 – City Performance</t>
  </si>
  <si>
    <t>Compare monthly business performance</t>
  </si>
  <si>
    <t>Compare performance across cities</t>
  </si>
  <si>
    <t>Grand Total</t>
  </si>
  <si>
    <t>PivotTable 3 – Department Performance</t>
  </si>
  <si>
    <t>PivotTable 4 – Channel Performance</t>
  </si>
  <si>
    <t>Compare target achievement between departments (Average of Achievement %)</t>
  </si>
  <si>
    <t>Compare Online, Retail and Internal channels</t>
  </si>
  <si>
    <t>Avg Achievement %</t>
  </si>
  <si>
    <t>PivotTable 5 – Performance Summary</t>
  </si>
  <si>
    <t>Number of employees in each performance category (Count of Employee_ID)</t>
  </si>
  <si>
    <t>Employee Count</t>
  </si>
  <si>
    <t>Excellent</t>
  </si>
  <si>
    <t>Good</t>
  </si>
  <si>
    <t>Needs Improvement</t>
  </si>
  <si>
    <t>MIS PERFORMANCE DASHBOARD</t>
  </si>
  <si>
    <t>Sales  |  Target Achievement  |  Orders  |  Quality</t>
  </si>
  <si>
    <t>FILTERS ▶</t>
  </si>
  <si>
    <t>All</t>
  </si>
  <si>
    <t>Pick a value to filter every KPI and chart. Set back to 'All' to reset.</t>
  </si>
  <si>
    <t>TOTAL REVENUE</t>
  </si>
  <si>
    <t>TOTAL ACTUAL SALES</t>
  </si>
  <si>
    <t>TOTAL ORDERS</t>
  </si>
  <si>
    <t>AVG ACHIEVEMENT %</t>
  </si>
  <si>
    <t>TOTAL RETURNS</t>
  </si>
  <si>
    <t>TOTAL COMPLAINTS</t>
  </si>
  <si>
    <t>PERFORMANCE CHARTS</t>
  </si>
  <si>
    <t>EMPLOYEE PERFORMANCE DETAIL</t>
  </si>
  <si>
    <t>Employee Name</t>
  </si>
  <si>
    <t>Actual Sales</t>
  </si>
  <si>
    <t>Legend – Achievement %:  green = 100% or more (Excellent) · amber = 90% to &lt;100% (Good) · red = below 90% (Needs Improvement)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</si>
</sst>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1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b/>
      <sz val="11"/>
      <color rgb="FF1F4E79"/>
      <name val="Arial"/>
      <family val="2"/>
    </font>
    <font>
      <i/>
      <sz val="9"/>
      <color rgb="FF7F7F7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b/>
      <sz val="22"/>
      <color rgb="FFFFFFFF"/>
      <name val="Arial"/>
      <family val="2"/>
    </font>
    <font>
      <sz val="11"/>
      <color rgb="FFFFFFFF"/>
      <name val="Arial"/>
      <family val="2"/>
    </font>
    <font>
      <b/>
      <sz val="9"/>
      <color rgb="FF595959"/>
      <name val="Arial"/>
      <family val="2"/>
    </font>
    <font>
      <b/>
      <sz val="10"/>
      <color rgb="FF1F4E79"/>
      <name val="Arial"/>
      <family val="2"/>
    </font>
    <font>
      <b/>
      <sz val="10"/>
      <color rgb="FF0000FF"/>
      <name val="Arial"/>
      <family val="2"/>
    </font>
    <font>
      <b/>
      <sz val="11"/>
      <color rgb="FF595959"/>
      <name val="Arial"/>
      <family val="2"/>
    </font>
    <font>
      <b/>
      <sz val="18"/>
      <color rgb="FF1F4E79"/>
      <name val="Arial"/>
      <family val="2"/>
    </font>
    <font>
      <b/>
      <sz val="12"/>
      <color rgb="FF1F4E79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AF1F8"/>
      </patternFill>
    </fill>
    <fill>
      <patternFill patternType="solid">
        <fgColor rgb="FFF4F7FB"/>
        <bgColor rgb="FFEAF1F8"/>
      </patternFill>
    </fill>
    <fill>
      <patternFill patternType="solid">
        <fgColor rgb="FFFFF2CC"/>
        <bgColor rgb="FFFFEB9C"/>
      </patternFill>
    </fill>
    <fill>
      <patternFill patternType="solid">
        <fgColor rgb="FFFFFFFF"/>
        <bgColor rgb="FFF4F7FB"/>
      </patternFill>
    </fill>
    <fill>
      <patternFill patternType="solid">
        <fgColor rgb="FFEAF1F8"/>
        <bgColor rgb="FFF4F7FB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 style="thin">
        <color rgb="FFD0D7E2"/>
      </right>
      <top style="thick">
        <color rgb="FF1F4E79"/>
      </top>
      <bottom/>
      <diagonal/>
    </border>
    <border>
      <left style="thin">
        <color rgb="FFD0D7E2"/>
      </left>
      <right style="thin">
        <color rgb="FFD0D7E2"/>
      </right>
      <top/>
      <bottom style="thin">
        <color rgb="FFD0D7E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3" fontId="7" fillId="3" borderId="1" xfId="0" applyNumberFormat="1" applyFont="1" applyFill="1" applyBorder="1"/>
    <xf numFmtId="0" fontId="0" fillId="4" borderId="0" xfId="0" applyFill="1"/>
    <xf numFmtId="0" fontId="11" fillId="4" borderId="0" xfId="0" applyFont="1" applyFill="1"/>
    <xf numFmtId="0" fontId="12" fillId="4" borderId="0" xfId="0" applyFont="1" applyFill="1"/>
    <xf numFmtId="0" fontId="6" fillId="4" borderId="0" xfId="0" applyFont="1" applyFill="1"/>
    <xf numFmtId="0" fontId="16" fillId="4" borderId="0" xfId="0" applyFont="1" applyFill="1"/>
    <xf numFmtId="0" fontId="7" fillId="0" borderId="1" xfId="0" applyFont="1" applyBorder="1"/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15" fillId="6" borderId="3" xfId="0" applyNumberFormat="1" applyFont="1" applyFill="1" applyBorder="1" applyAlignment="1">
      <alignment horizontal="center" vertical="center"/>
    </xf>
    <xf numFmtId="3" fontId="15" fillId="6" borderId="3" xfId="0" applyNumberFormat="1" applyFont="1" applyFill="1" applyBorder="1" applyAlignment="1">
      <alignment horizontal="center" vertical="center"/>
    </xf>
    <xf numFmtId="165" fontId="15" fillId="6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6EFCE"/>
      <rgbColor rgb="FFFFEB9C"/>
      <rgbColor rgb="FF9DC3E6"/>
      <rgbColor rgb="FFF4F7FB"/>
      <rgbColor rgb="FFD9D9D9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61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MIS_Analysis!$B$14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MIS_Analysis!$A$15:$A$19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MIS_Analysis!$B$15:$B$19</c:f>
              <c:numCache>
                <c:formatCode>\₹#,##0</c:formatCode>
                <c:ptCount val="5"/>
                <c:pt idx="0">
                  <c:v>5320000</c:v>
                </c:pt>
                <c:pt idx="1">
                  <c:v>4700000</c:v>
                </c:pt>
                <c:pt idx="2">
                  <c:v>5830000</c:v>
                </c:pt>
                <c:pt idx="3">
                  <c:v>5020000</c:v>
                </c:pt>
                <c:pt idx="4">
                  <c:v>4590000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161-92B3-5D650111A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9030750"/>
        <c:axId val="95428112"/>
      </c:barChart>
      <c:catAx>
        <c:axId val="69030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28112"/>
        <c:crosses val="autoZero"/>
        <c:auto val="1"/>
        <c:lblAlgn val="ctr"/>
        <c:lblOffset val="100"/>
        <c:noMultiLvlLbl val="0"/>
      </c:catAx>
      <c:valAx>
        <c:axId val="95428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307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Actual Sales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MIS_Analysis!$C$14</c:f>
              <c:strCache>
                <c:ptCount val="1"/>
                <c:pt idx="0">
                  <c:v>Actual_Sales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MIS_Analysis!$A$15:$A$19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MIS_Analysis!$C$15:$C$19</c:f>
              <c:numCache>
                <c:formatCode>\₹#,##0</c:formatCode>
                <c:ptCount val="5"/>
                <c:pt idx="0">
                  <c:v>4260000</c:v>
                </c:pt>
                <c:pt idx="1">
                  <c:v>3783000</c:v>
                </c:pt>
                <c:pt idx="2">
                  <c:v>4717000</c:v>
                </c:pt>
                <c:pt idx="3">
                  <c:v>4055000</c:v>
                </c:pt>
                <c:pt idx="4">
                  <c:v>3725000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9-4403-BEF0-036E019F4786}"/>
            </c:ext>
          </c:extLst>
        </c:ser>
        <c:ser>
          <c:idx val="1"/>
          <c:order val="1"/>
          <c:tx>
            <c:strRef>
              <c:f>MIS_Analysis!$D$14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MIS_Analysis!$A$15:$A$19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MIS_Analysis!$D$15:$D$19</c:f>
              <c:numCache>
                <c:formatCode>\₹#,##0</c:formatCode>
                <c:ptCount val="5"/>
                <c:pt idx="0">
                  <c:v>4500000</c:v>
                </c:pt>
                <c:pt idx="1">
                  <c:v>3980000</c:v>
                </c:pt>
                <c:pt idx="2">
                  <c:v>4950000</c:v>
                </c:pt>
                <c:pt idx="3">
                  <c:v>4250000</c:v>
                </c:pt>
                <c:pt idx="4">
                  <c:v>3890000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9-4403-BEF0-036E019F4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2269363"/>
        <c:axId val="76356887"/>
      </c:barChart>
      <c:catAx>
        <c:axId val="72269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56887"/>
        <c:crosses val="autoZero"/>
        <c:auto val="1"/>
        <c:lblAlgn val="ctr"/>
        <c:lblOffset val="100"/>
        <c:noMultiLvlLbl val="0"/>
      </c:catAx>
      <c:valAx>
        <c:axId val="76356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693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MIS_Analysis!$H$14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MIS_Analysis!$G$15:$G$17</c:f>
              <c:strCache>
                <c:ptCount val="3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</c:strCache>
            </c:strRef>
          </c:cat>
          <c:val>
            <c:numRef>
              <c:f>MIS_Analysis!$H$15:$H$17</c:f>
              <c:numCache>
                <c:formatCode>\₹#,##0</c:formatCode>
                <c:ptCount val="3"/>
                <c:pt idx="0">
                  <c:v>13290000</c:v>
                </c:pt>
                <c:pt idx="1">
                  <c:v>7860000</c:v>
                </c:pt>
                <c:pt idx="2">
                  <c:v>4310000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A-4ED9-9F34-DE517A608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4441302"/>
        <c:axId val="26791174"/>
      </c:barChart>
      <c:catAx>
        <c:axId val="7444130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791174"/>
        <c:crosses val="autoZero"/>
        <c:auto val="1"/>
        <c:lblAlgn val="ctr"/>
        <c:lblOffset val="100"/>
        <c:noMultiLvlLbl val="0"/>
      </c:catAx>
      <c:valAx>
        <c:axId val="2679117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41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Achievement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MIS_Analysis!$B$25</c:f>
              <c:strCache>
                <c:ptCount val="1"/>
                <c:pt idx="0">
                  <c:v>Avg Achievement %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MIS_Analysis!$A$26:$A$28</c:f>
              <c:strCache>
                <c:ptCount val="3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</c:strCache>
            </c:strRef>
          </c:cat>
          <c:val>
            <c:numRef>
              <c:f>MIS_Analysis!$B$26:$B$28</c:f>
              <c:numCache>
                <c:formatCode>0.0%</c:formatCode>
                <c:ptCount val="3"/>
                <c:pt idx="0">
                  <c:v>0.95167440619967525</c:v>
                </c:pt>
                <c:pt idx="1">
                  <c:v>0.95694433017962433</c:v>
                </c:pt>
                <c:pt idx="2">
                  <c:v>0.94921418526393331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6-471E-BA9D-CC29EFA67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826271"/>
        <c:axId val="25600532"/>
      </c:barChart>
      <c:catAx>
        <c:axId val="8982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00532"/>
        <c:crosses val="autoZero"/>
        <c:auto val="1"/>
        <c:lblAlgn val="ctr"/>
        <c:lblOffset val="100"/>
        <c:noMultiLvlLbl val="0"/>
      </c:catAx>
      <c:valAx>
        <c:axId val="25600532"/>
        <c:scaling>
          <c:orientation val="minMax"/>
          <c:max val="1.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826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Employee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MIS_Analysis!$B$34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DE3-4E25-8075-A75EAF672286}"/>
              </c:ext>
            </c:extLst>
          </c:dPt>
          <c:dPt>
            <c:idx val="1"/>
            <c:bubble3D val="0"/>
            <c:spPr>
              <a:solidFill>
                <a:srgbClr val="9DC3E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DE3-4E25-8075-A75EAF672286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DE3-4E25-8075-A75EAF67228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E3-4E25-8075-A75EAF67228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E3-4E25-8075-A75EAF67228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E3-4E25-8075-A75EAF672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MIS_Analysis!$A$35:$A$37</c:f>
              <c:strCache>
                <c:ptCount val="3"/>
                <c:pt idx="0">
                  <c:v>Excellent</c:v>
                </c:pt>
                <c:pt idx="1">
                  <c:v>Good</c:v>
                </c:pt>
                <c:pt idx="2">
                  <c:v>Needs Improvement</c:v>
                </c:pt>
              </c:strCache>
            </c:strRef>
          </c:cat>
          <c:val>
            <c:numRef>
              <c:f>MIS_Analysis!$B$35:$B$37</c:f>
              <c:numCache>
                <c:formatCode>General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E3-4E25-8075-A75EAF672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689760</xdr:colOff>
      <xdr:row>23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689760</xdr:colOff>
      <xdr:row>23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10</xdr:row>
      <xdr:rowOff>0</xdr:rowOff>
    </xdr:from>
    <xdr:to>
      <xdr:col>18</xdr:col>
      <xdr:colOff>689760</xdr:colOff>
      <xdr:row>23</xdr:row>
      <xdr:rowOff>115200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700560</xdr:colOff>
      <xdr:row>38</xdr:row>
      <xdr:rowOff>115200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18</xdr:col>
      <xdr:colOff>700560</xdr:colOff>
      <xdr:row>38</xdr:row>
      <xdr:rowOff>115200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_Data" displayName="MIS_Data" ref="A1:P31" totalsRowShown="0" headerRowDxfId="0">
  <autoFilter ref="A1:P31" xr:uid="{00000000-0009-0000-0100-000001000000}"/>
  <tableColumns count="16">
    <tableColumn id="1" xr3:uid="{00000000-0010-0000-0000-000001000000}" name="Employee_ID"/>
    <tableColumn id="2" xr3:uid="{00000000-0010-0000-0000-000002000000}" name="Employee_Name"/>
    <tableColumn id="3" xr3:uid="{00000000-0010-0000-0000-000003000000}" name="Department"/>
    <tableColumn id="4" xr3:uid="{00000000-0010-0000-0000-000004000000}" name="City"/>
    <tableColumn id="5" xr3:uid="{00000000-0010-0000-0000-000005000000}" name="Month"/>
    <tableColumn id="6" xr3:uid="{00000000-0010-0000-0000-000006000000}" name="Channel"/>
    <tableColumn id="7" xr3:uid="{00000000-0010-0000-0000-000007000000}" name="Orders"/>
    <tableColumn id="8" xr3:uid="{00000000-0010-0000-0000-000008000000}" name="Revenue"/>
    <tableColumn id="9" xr3:uid="{00000000-0010-0000-0000-000009000000}" name="Target"/>
    <tableColumn id="10" xr3:uid="{00000000-0010-0000-0000-00000A000000}" name="Actual_Sales"/>
    <tableColumn id="11" xr3:uid="{00000000-0010-0000-0000-00000B000000}" name="Returns"/>
    <tableColumn id="12" xr3:uid="{00000000-0010-0000-0000-00000C000000}" name="Complaints"/>
    <tableColumn id="13" xr3:uid="{00000000-0010-0000-0000-00000D000000}" name="Achievement %"/>
    <tableColumn id="14" xr3:uid="{00000000-0010-0000-0000-00000E000000}" name="Target Status"/>
    <tableColumn id="15" xr3:uid="{00000000-0010-0000-0000-00000F000000}" name="Return Rate"/>
    <tableColumn id="16" xr3:uid="{00000000-0010-0000-0000-000010000000}" name="Performan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P2" sqref="P2"/>
    </sheetView>
  </sheetViews>
  <sheetFormatPr defaultColWidth="8.6640625" defaultRowHeight="14.4" x14ac:dyDescent="0.3"/>
  <cols>
    <col min="1" max="1" width="15.33203125" bestFit="1" customWidth="1"/>
    <col min="2" max="2" width="19.88671875" bestFit="1" customWidth="1"/>
    <col min="3" max="3" width="12" customWidth="1"/>
    <col min="4" max="4" width="9.21875" bestFit="1" customWidth="1"/>
    <col min="5" max="5" width="10.88671875" bestFit="1" customWidth="1"/>
    <col min="6" max="6" width="12.5546875" bestFit="1" customWidth="1"/>
    <col min="7" max="7" width="11.5546875" bestFit="1" customWidth="1"/>
    <col min="8" max="9" width="13" customWidth="1"/>
    <col min="10" max="10" width="16.5546875" bestFit="1" customWidth="1"/>
    <col min="11" max="11" width="12.44140625" bestFit="1" customWidth="1"/>
    <col min="12" max="12" width="15.21875" bestFit="1" customWidth="1"/>
    <col min="13" max="13" width="16.5546875" bestFit="1" customWidth="1"/>
    <col min="14" max="14" width="17.5546875" bestFit="1" customWidth="1"/>
    <col min="15" max="15" width="11.44140625" bestFit="1" customWidth="1"/>
    <col min="16" max="16" width="16.5546875" bestFit="1" customWidth="1"/>
  </cols>
  <sheetData>
    <row r="1" spans="1:16" ht="30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125</v>
      </c>
      <c r="H2" s="3">
        <v>980000</v>
      </c>
      <c r="I2" s="3">
        <v>820000</v>
      </c>
      <c r="J2" s="3">
        <v>760000</v>
      </c>
      <c r="K2" s="1">
        <v>12</v>
      </c>
      <c r="L2" s="1">
        <v>8</v>
      </c>
      <c r="M2" s="4">
        <f>MIS_Data[[#This Row],[Actual_Sales]]/MIS_Data[[#This Row],[Target]]</f>
        <v>0.92682926829268297</v>
      </c>
      <c r="N2" s="1" t="str">
        <f>IF(MIS_Data[[#This Row],[Actual_Sales]]&gt;=MIS_Data[[#This Row],[Target]],"Target Achieved","Target Not Achieved")</f>
        <v>Target Not Achieved</v>
      </c>
      <c r="O2" s="4">
        <f>MIS_Data[[#This Row],[Returns]]/MIS_Data[[#This Row],[Orders]]</f>
        <v>9.6000000000000002E-2</v>
      </c>
      <c r="P2" s="1" t="str">
        <f>IF(MIS_Data[[#This Row],[Achievement %]]&gt;=1,"Excellent",IF(MIS_Data[[#This Row],[Achievement %]]&gt;=0.9,"Good","Needs Improvement"))</f>
        <v>Good</v>
      </c>
    </row>
    <row r="3" spans="1:16" x14ac:dyDescent="0.3">
      <c r="A3" s="1" t="s">
        <v>22</v>
      </c>
      <c r="B3" s="1" t="s">
        <v>23</v>
      </c>
      <c r="C3" s="1" t="s">
        <v>18</v>
      </c>
      <c r="D3" s="1" t="s">
        <v>24</v>
      </c>
      <c r="E3" s="1" t="s">
        <v>20</v>
      </c>
      <c r="F3" s="1" t="s">
        <v>21</v>
      </c>
      <c r="G3" s="2">
        <v>110</v>
      </c>
      <c r="H3" s="3">
        <v>850000</v>
      </c>
      <c r="I3" s="3">
        <v>720000</v>
      </c>
      <c r="J3" s="3">
        <v>690000</v>
      </c>
      <c r="K3" s="1">
        <v>15</v>
      </c>
      <c r="L3" s="1">
        <v>10</v>
      </c>
      <c r="M3" s="4">
        <f>MIS_Data[[#This Row],[Actual_Sales]]/MIS_Data[[#This Row],[Target]]</f>
        <v>0.95833333333333337</v>
      </c>
      <c r="N3" s="1" t="str">
        <f>IF(MIS_Data[[#This Row],[Actual_Sales]]&gt;=MIS_Data[[#This Row],[Target]],"Target Achieved","Target Not Achieved")</f>
        <v>Target Not Achieved</v>
      </c>
      <c r="O3" s="4">
        <f>MIS_Data[[#This Row],[Returns]]/MIS_Data[[#This Row],[Orders]]</f>
        <v>0.13636363636363635</v>
      </c>
      <c r="P3" s="1" t="str">
        <f>IF(MIS_Data[[#This Row],[Achievement %]]&gt;=1,"Excellent",IF(MIS_Data[[#This Row],[Achievement %]]&gt;=0.9,"Good","Needs Improvement"))</f>
        <v>Good</v>
      </c>
    </row>
    <row r="4" spans="1:16" x14ac:dyDescent="0.3">
      <c r="A4" s="1" t="s">
        <v>25</v>
      </c>
      <c r="B4" s="1" t="s">
        <v>26</v>
      </c>
      <c r="C4" s="1" t="s">
        <v>18</v>
      </c>
      <c r="D4" s="1" t="s">
        <v>19</v>
      </c>
      <c r="E4" s="1" t="s">
        <v>20</v>
      </c>
      <c r="F4" s="1" t="s">
        <v>27</v>
      </c>
      <c r="G4" s="2">
        <v>140</v>
      </c>
      <c r="H4" s="3">
        <v>1100000</v>
      </c>
      <c r="I4" s="3">
        <v>950000</v>
      </c>
      <c r="J4" s="3">
        <v>910000</v>
      </c>
      <c r="K4" s="1">
        <v>9</v>
      </c>
      <c r="L4" s="1">
        <v>7</v>
      </c>
      <c r="M4" s="4">
        <f>MIS_Data[[#This Row],[Actual_Sales]]/MIS_Data[[#This Row],[Target]]</f>
        <v>0.95789473684210524</v>
      </c>
      <c r="N4" s="1" t="str">
        <f>IF(MIS_Data[[#This Row],[Actual_Sales]]&gt;=MIS_Data[[#This Row],[Target]],"Target Achieved","Target Not Achieved")</f>
        <v>Target Not Achieved</v>
      </c>
      <c r="O4" s="4">
        <f>MIS_Data[[#This Row],[Returns]]/MIS_Data[[#This Row],[Orders]]</f>
        <v>6.4285714285714279E-2</v>
      </c>
      <c r="P4" s="1" t="str">
        <f>IF(MIS_Data[[#This Row],[Achievement %]]&gt;=1,"Excellent",IF(MIS_Data[[#This Row],[Achievement %]]&gt;=0.9,"Good","Needs Improvement"))</f>
        <v>Good</v>
      </c>
    </row>
    <row r="5" spans="1:16" x14ac:dyDescent="0.3">
      <c r="A5" s="1" t="s">
        <v>28</v>
      </c>
      <c r="B5" s="1" t="s">
        <v>29</v>
      </c>
      <c r="C5" s="1" t="s">
        <v>30</v>
      </c>
      <c r="D5" s="1" t="s">
        <v>19</v>
      </c>
      <c r="E5" s="1" t="s">
        <v>20</v>
      </c>
      <c r="F5" s="1" t="s">
        <v>31</v>
      </c>
      <c r="G5" s="2">
        <v>60</v>
      </c>
      <c r="H5" s="3">
        <v>300000</v>
      </c>
      <c r="I5" s="3">
        <v>250000</v>
      </c>
      <c r="J5" s="3">
        <v>240000</v>
      </c>
      <c r="K5" s="1">
        <v>4</v>
      </c>
      <c r="L5" s="1">
        <v>3</v>
      </c>
      <c r="M5" s="4">
        <f>MIS_Data[[#This Row],[Actual_Sales]]/MIS_Data[[#This Row],[Target]]</f>
        <v>0.96</v>
      </c>
      <c r="N5" s="1" t="str">
        <f>IF(MIS_Data[[#This Row],[Actual_Sales]]&gt;=MIS_Data[[#This Row],[Target]],"Target Achieved","Target Not Achieved")</f>
        <v>Target Not Achieved</v>
      </c>
      <c r="O5" s="4">
        <f>MIS_Data[[#This Row],[Returns]]/MIS_Data[[#This Row],[Orders]]</f>
        <v>6.6666666666666666E-2</v>
      </c>
      <c r="P5" s="1" t="str">
        <f>IF(MIS_Data[[#This Row],[Achievement %]]&gt;=1,"Excellent",IF(MIS_Data[[#This Row],[Achievement %]]&gt;=0.9,"Good","Needs Improvement"))</f>
        <v>Good</v>
      </c>
    </row>
    <row r="6" spans="1:16" x14ac:dyDescent="0.3">
      <c r="A6" s="1" t="s">
        <v>32</v>
      </c>
      <c r="B6" s="1" t="s">
        <v>33</v>
      </c>
      <c r="C6" s="1" t="s">
        <v>18</v>
      </c>
      <c r="D6" s="1" t="s">
        <v>24</v>
      </c>
      <c r="E6" s="1" t="s">
        <v>20</v>
      </c>
      <c r="F6" s="1" t="s">
        <v>27</v>
      </c>
      <c r="G6" s="2">
        <v>130</v>
      </c>
      <c r="H6" s="3">
        <v>1020000</v>
      </c>
      <c r="I6" s="3">
        <v>880000</v>
      </c>
      <c r="J6" s="3">
        <v>830000</v>
      </c>
      <c r="K6" s="1">
        <v>11</v>
      </c>
      <c r="L6" s="1">
        <v>9</v>
      </c>
      <c r="M6" s="4">
        <f>MIS_Data[[#This Row],[Actual_Sales]]/MIS_Data[[#This Row],[Target]]</f>
        <v>0.94318181818181823</v>
      </c>
      <c r="N6" s="1" t="str">
        <f>IF(MIS_Data[[#This Row],[Actual_Sales]]&gt;=MIS_Data[[#This Row],[Target]],"Target Achieved","Target Not Achieved")</f>
        <v>Target Not Achieved</v>
      </c>
      <c r="O6" s="4">
        <f>MIS_Data[[#This Row],[Returns]]/MIS_Data[[#This Row],[Orders]]</f>
        <v>8.461538461538462E-2</v>
      </c>
      <c r="P6" s="1" t="str">
        <f>IF(MIS_Data[[#This Row],[Achievement %]]&gt;=1,"Excellent",IF(MIS_Data[[#This Row],[Achievement %]]&gt;=0.9,"Good","Needs Improvement"))</f>
        <v>Good</v>
      </c>
    </row>
    <row r="7" spans="1:16" x14ac:dyDescent="0.3">
      <c r="A7" s="1" t="s">
        <v>34</v>
      </c>
      <c r="B7" s="1" t="s">
        <v>35</v>
      </c>
      <c r="C7" s="1" t="s">
        <v>18</v>
      </c>
      <c r="D7" s="1" t="s">
        <v>36</v>
      </c>
      <c r="E7" s="1" t="s">
        <v>20</v>
      </c>
      <c r="F7" s="1" t="s">
        <v>21</v>
      </c>
      <c r="G7" s="2">
        <v>105</v>
      </c>
      <c r="H7" s="3">
        <v>790000</v>
      </c>
      <c r="I7" s="3">
        <v>650000</v>
      </c>
      <c r="J7" s="3">
        <v>610000</v>
      </c>
      <c r="K7" s="1">
        <v>18</v>
      </c>
      <c r="L7" s="1">
        <v>13</v>
      </c>
      <c r="M7" s="4">
        <f>MIS_Data[[#This Row],[Actual_Sales]]/MIS_Data[[#This Row],[Target]]</f>
        <v>0.93846153846153846</v>
      </c>
      <c r="N7" s="1" t="str">
        <f>IF(MIS_Data[[#This Row],[Actual_Sales]]&gt;=MIS_Data[[#This Row],[Target]],"Target Achieved","Target Not Achieved")</f>
        <v>Target Not Achieved</v>
      </c>
      <c r="O7" s="4">
        <f>MIS_Data[[#This Row],[Returns]]/MIS_Data[[#This Row],[Orders]]</f>
        <v>0.17142857142857143</v>
      </c>
      <c r="P7" s="1" t="str">
        <f>IF(MIS_Data[[#This Row],[Achievement %]]&gt;=1,"Excellent",IF(MIS_Data[[#This Row],[Achievement %]]&gt;=0.9,"Good","Needs Improvement"))</f>
        <v>Good</v>
      </c>
    </row>
    <row r="8" spans="1:16" x14ac:dyDescent="0.3">
      <c r="A8" s="1" t="s">
        <v>37</v>
      </c>
      <c r="B8" s="1" t="s">
        <v>38</v>
      </c>
      <c r="C8" s="1" t="s">
        <v>39</v>
      </c>
      <c r="D8" s="1" t="s">
        <v>19</v>
      </c>
      <c r="E8" s="1" t="s">
        <v>20</v>
      </c>
      <c r="F8" s="1" t="s">
        <v>31</v>
      </c>
      <c r="G8" s="2">
        <v>55</v>
      </c>
      <c r="H8" s="3">
        <v>280000</v>
      </c>
      <c r="I8" s="3">
        <v>230000</v>
      </c>
      <c r="J8" s="3">
        <v>220000</v>
      </c>
      <c r="K8" s="1">
        <v>5</v>
      </c>
      <c r="L8" s="1">
        <v>4</v>
      </c>
      <c r="M8" s="4">
        <f>MIS_Data[[#This Row],[Actual_Sales]]/MIS_Data[[#This Row],[Target]]</f>
        <v>0.95652173913043481</v>
      </c>
      <c r="N8" s="1" t="str">
        <f>IF(MIS_Data[[#This Row],[Actual_Sales]]&gt;=MIS_Data[[#This Row],[Target]],"Target Achieved","Target Not Achieved")</f>
        <v>Target Not Achieved</v>
      </c>
      <c r="O8" s="4">
        <f>MIS_Data[[#This Row],[Returns]]/MIS_Data[[#This Row],[Orders]]</f>
        <v>9.0909090909090912E-2</v>
      </c>
      <c r="P8" s="1" t="str">
        <f>IF(MIS_Data[[#This Row],[Achievement %]]&gt;=1,"Excellent",IF(MIS_Data[[#This Row],[Achievement %]]&gt;=0.9,"Good","Needs Improvement"))</f>
        <v>Good</v>
      </c>
    </row>
    <row r="9" spans="1:16" x14ac:dyDescent="0.3">
      <c r="A9" s="1" t="s">
        <v>40</v>
      </c>
      <c r="B9" s="1" t="s">
        <v>41</v>
      </c>
      <c r="C9" s="1" t="s">
        <v>18</v>
      </c>
      <c r="D9" s="1" t="s">
        <v>19</v>
      </c>
      <c r="E9" s="1" t="s">
        <v>42</v>
      </c>
      <c r="F9" s="1" t="s">
        <v>21</v>
      </c>
      <c r="G9" s="2">
        <v>150</v>
      </c>
      <c r="H9" s="3">
        <v>1180000</v>
      </c>
      <c r="I9" s="3">
        <v>1000000</v>
      </c>
      <c r="J9" s="3">
        <v>950000</v>
      </c>
      <c r="K9" s="1">
        <v>8</v>
      </c>
      <c r="L9" s="1">
        <v>6</v>
      </c>
      <c r="M9" s="4">
        <f>MIS_Data[[#This Row],[Actual_Sales]]/MIS_Data[[#This Row],[Target]]</f>
        <v>0.95</v>
      </c>
      <c r="N9" s="1" t="str">
        <f>IF(MIS_Data[[#This Row],[Actual_Sales]]&gt;=MIS_Data[[#This Row],[Target]],"Target Achieved","Target Not Achieved")</f>
        <v>Target Not Achieved</v>
      </c>
      <c r="O9" s="4">
        <f>MIS_Data[[#This Row],[Returns]]/MIS_Data[[#This Row],[Orders]]</f>
        <v>5.3333333333333337E-2</v>
      </c>
      <c r="P9" s="1" t="str">
        <f>IF(MIS_Data[[#This Row],[Achievement %]]&gt;=1,"Excellent",IF(MIS_Data[[#This Row],[Achievement %]]&gt;=0.9,"Good","Needs Improvement"))</f>
        <v>Good</v>
      </c>
    </row>
    <row r="10" spans="1:16" x14ac:dyDescent="0.3">
      <c r="A10" s="1" t="s">
        <v>43</v>
      </c>
      <c r="B10" s="1" t="s">
        <v>44</v>
      </c>
      <c r="C10" s="1" t="s">
        <v>18</v>
      </c>
      <c r="D10" s="1" t="s">
        <v>24</v>
      </c>
      <c r="E10" s="1" t="s">
        <v>42</v>
      </c>
      <c r="F10" s="1" t="s">
        <v>27</v>
      </c>
      <c r="G10" s="2">
        <v>120</v>
      </c>
      <c r="H10" s="3">
        <v>920000</v>
      </c>
      <c r="I10" s="3">
        <v>780000</v>
      </c>
      <c r="J10" s="3">
        <v>735000</v>
      </c>
      <c r="K10" s="1">
        <v>14</v>
      </c>
      <c r="L10" s="1">
        <v>11</v>
      </c>
      <c r="M10" s="4">
        <f>MIS_Data[[#This Row],[Actual_Sales]]/MIS_Data[[#This Row],[Target]]</f>
        <v>0.94230769230769229</v>
      </c>
      <c r="N10" s="1" t="str">
        <f>IF(MIS_Data[[#This Row],[Actual_Sales]]&gt;=MIS_Data[[#This Row],[Target]],"Target Achieved","Target Not Achieved")</f>
        <v>Target Not Achieved</v>
      </c>
      <c r="O10" s="4">
        <f>MIS_Data[[#This Row],[Returns]]/MIS_Data[[#This Row],[Orders]]</f>
        <v>0.11666666666666667</v>
      </c>
      <c r="P10" s="1" t="str">
        <f>IF(MIS_Data[[#This Row],[Achievement %]]&gt;=1,"Excellent",IF(MIS_Data[[#This Row],[Achievement %]]&gt;=0.9,"Good","Needs Improvement"))</f>
        <v>Good</v>
      </c>
    </row>
    <row r="11" spans="1:16" x14ac:dyDescent="0.3">
      <c r="A11" s="1" t="s">
        <v>45</v>
      </c>
      <c r="B11" s="1" t="s">
        <v>46</v>
      </c>
      <c r="C11" s="1" t="s">
        <v>18</v>
      </c>
      <c r="D11" s="1" t="s">
        <v>36</v>
      </c>
      <c r="E11" s="1" t="s">
        <v>42</v>
      </c>
      <c r="F11" s="1" t="s">
        <v>21</v>
      </c>
      <c r="G11" s="2">
        <v>115</v>
      </c>
      <c r="H11" s="3">
        <v>870000</v>
      </c>
      <c r="I11" s="3">
        <v>730000</v>
      </c>
      <c r="J11" s="3">
        <v>700000</v>
      </c>
      <c r="K11" s="1">
        <v>16</v>
      </c>
      <c r="L11" s="1">
        <v>12</v>
      </c>
      <c r="M11" s="4">
        <f>MIS_Data[[#This Row],[Actual_Sales]]/MIS_Data[[#This Row],[Target]]</f>
        <v>0.95890410958904104</v>
      </c>
      <c r="N11" s="1" t="str">
        <f>IF(MIS_Data[[#This Row],[Actual_Sales]]&gt;=MIS_Data[[#This Row],[Target]],"Target Achieved","Target Not Achieved")</f>
        <v>Target Not Achieved</v>
      </c>
      <c r="O11" s="4">
        <f>MIS_Data[[#This Row],[Returns]]/MIS_Data[[#This Row],[Orders]]</f>
        <v>0.1391304347826087</v>
      </c>
      <c r="P11" s="1" t="str">
        <f>IF(MIS_Data[[#This Row],[Achievement %]]&gt;=1,"Excellent",IF(MIS_Data[[#This Row],[Achievement %]]&gt;=0.9,"Good","Needs Improvement"))</f>
        <v>Good</v>
      </c>
    </row>
    <row r="12" spans="1:16" x14ac:dyDescent="0.3">
      <c r="A12" s="1" t="s">
        <v>47</v>
      </c>
      <c r="B12" s="1" t="s">
        <v>48</v>
      </c>
      <c r="C12" s="1" t="s">
        <v>30</v>
      </c>
      <c r="D12" s="1" t="s">
        <v>24</v>
      </c>
      <c r="E12" s="1" t="s">
        <v>42</v>
      </c>
      <c r="F12" s="1" t="s">
        <v>31</v>
      </c>
      <c r="G12" s="2">
        <v>65</v>
      </c>
      <c r="H12" s="3">
        <v>310000</v>
      </c>
      <c r="I12" s="3">
        <v>260000</v>
      </c>
      <c r="J12" s="3">
        <v>250000</v>
      </c>
      <c r="K12" s="1">
        <v>6</v>
      </c>
      <c r="L12" s="1">
        <v>5</v>
      </c>
      <c r="M12" s="4">
        <f>MIS_Data[[#This Row],[Actual_Sales]]/MIS_Data[[#This Row],[Target]]</f>
        <v>0.96153846153846156</v>
      </c>
      <c r="N12" s="1" t="str">
        <f>IF(MIS_Data[[#This Row],[Actual_Sales]]&gt;=MIS_Data[[#This Row],[Target]],"Target Achieved","Target Not Achieved")</f>
        <v>Target Not Achieved</v>
      </c>
      <c r="O12" s="4">
        <f>MIS_Data[[#This Row],[Returns]]/MIS_Data[[#This Row],[Orders]]</f>
        <v>9.2307692307692313E-2</v>
      </c>
      <c r="P12" s="1" t="str">
        <f>IF(MIS_Data[[#This Row],[Achievement %]]&gt;=1,"Excellent",IF(MIS_Data[[#This Row],[Achievement %]]&gt;=0.9,"Good","Needs Improvement"))</f>
        <v>Good</v>
      </c>
    </row>
    <row r="13" spans="1:16" x14ac:dyDescent="0.3">
      <c r="A13" s="1" t="s">
        <v>49</v>
      </c>
      <c r="B13" s="1" t="s">
        <v>50</v>
      </c>
      <c r="C13" s="1" t="s">
        <v>18</v>
      </c>
      <c r="D13" s="1" t="s">
        <v>19</v>
      </c>
      <c r="E13" s="1" t="s">
        <v>42</v>
      </c>
      <c r="F13" s="1" t="s">
        <v>27</v>
      </c>
      <c r="G13" s="2">
        <v>145</v>
      </c>
      <c r="H13" s="3">
        <v>1130000</v>
      </c>
      <c r="I13" s="3">
        <v>970000</v>
      </c>
      <c r="J13" s="3">
        <v>920000</v>
      </c>
      <c r="K13" s="1">
        <v>10</v>
      </c>
      <c r="L13" s="1">
        <v>8</v>
      </c>
      <c r="M13" s="4">
        <f>MIS_Data[[#This Row],[Actual_Sales]]/MIS_Data[[#This Row],[Target]]</f>
        <v>0.94845360824742264</v>
      </c>
      <c r="N13" s="1" t="str">
        <f>IF(MIS_Data[[#This Row],[Actual_Sales]]&gt;=MIS_Data[[#This Row],[Target]],"Target Achieved","Target Not Achieved")</f>
        <v>Target Not Achieved</v>
      </c>
      <c r="O13" s="4">
        <f>MIS_Data[[#This Row],[Returns]]/MIS_Data[[#This Row],[Orders]]</f>
        <v>6.8965517241379309E-2</v>
      </c>
      <c r="P13" s="1" t="str">
        <f>IF(MIS_Data[[#This Row],[Achievement %]]&gt;=1,"Excellent",IF(MIS_Data[[#This Row],[Achievement %]]&gt;=0.9,"Good","Needs Improvement"))</f>
        <v>Good</v>
      </c>
    </row>
    <row r="14" spans="1:16" x14ac:dyDescent="0.3">
      <c r="A14" s="1" t="s">
        <v>51</v>
      </c>
      <c r="B14" s="1" t="s">
        <v>52</v>
      </c>
      <c r="C14" s="1" t="s">
        <v>39</v>
      </c>
      <c r="D14" s="1" t="s">
        <v>19</v>
      </c>
      <c r="E14" s="1" t="s">
        <v>42</v>
      </c>
      <c r="F14" s="1" t="s">
        <v>31</v>
      </c>
      <c r="G14" s="2">
        <v>58</v>
      </c>
      <c r="H14" s="3">
        <v>290000</v>
      </c>
      <c r="I14" s="3">
        <v>240000</v>
      </c>
      <c r="J14" s="3">
        <v>228000</v>
      </c>
      <c r="K14" s="1">
        <v>7</v>
      </c>
      <c r="L14" s="1">
        <v>5</v>
      </c>
      <c r="M14" s="4">
        <f>MIS_Data[[#This Row],[Actual_Sales]]/MIS_Data[[#This Row],[Target]]</f>
        <v>0.95</v>
      </c>
      <c r="N14" s="1" t="str">
        <f>IF(MIS_Data[[#This Row],[Actual_Sales]]&gt;=MIS_Data[[#This Row],[Target]],"Target Achieved","Target Not Achieved")</f>
        <v>Target Not Achieved</v>
      </c>
      <c r="O14" s="4">
        <f>MIS_Data[[#This Row],[Returns]]/MIS_Data[[#This Row],[Orders]]</f>
        <v>0.1206896551724138</v>
      </c>
      <c r="P14" s="1" t="str">
        <f>IF(MIS_Data[[#This Row],[Achievement %]]&gt;=1,"Excellent",IF(MIS_Data[[#This Row],[Achievement %]]&gt;=0.9,"Good","Needs Improvement"))</f>
        <v>Good</v>
      </c>
    </row>
    <row r="15" spans="1:16" x14ac:dyDescent="0.3">
      <c r="A15" s="1" t="s">
        <v>53</v>
      </c>
      <c r="B15" s="1" t="s">
        <v>54</v>
      </c>
      <c r="C15" s="1" t="s">
        <v>18</v>
      </c>
      <c r="D15" s="1" t="s">
        <v>24</v>
      </c>
      <c r="E15" s="1" t="s">
        <v>55</v>
      </c>
      <c r="F15" s="1" t="s">
        <v>21</v>
      </c>
      <c r="G15" s="2">
        <v>135</v>
      </c>
      <c r="H15" s="3">
        <v>1050000</v>
      </c>
      <c r="I15" s="3">
        <v>900000</v>
      </c>
      <c r="J15" s="3">
        <v>860000</v>
      </c>
      <c r="K15" s="1">
        <v>12</v>
      </c>
      <c r="L15" s="1">
        <v>9</v>
      </c>
      <c r="M15" s="4">
        <f>MIS_Data[[#This Row],[Actual_Sales]]/MIS_Data[[#This Row],[Target]]</f>
        <v>0.9555555555555556</v>
      </c>
      <c r="N15" s="1" t="str">
        <f>IF(MIS_Data[[#This Row],[Actual_Sales]]&gt;=MIS_Data[[#This Row],[Target]],"Target Achieved","Target Not Achieved")</f>
        <v>Target Not Achieved</v>
      </c>
      <c r="O15" s="4">
        <f>MIS_Data[[#This Row],[Returns]]/MIS_Data[[#This Row],[Orders]]</f>
        <v>8.8888888888888892E-2</v>
      </c>
      <c r="P15" s="1" t="str">
        <f>IF(MIS_Data[[#This Row],[Achievement %]]&gt;=1,"Excellent",IF(MIS_Data[[#This Row],[Achievement %]]&gt;=0.9,"Good","Needs Improvement"))</f>
        <v>Good</v>
      </c>
    </row>
    <row r="16" spans="1:16" x14ac:dyDescent="0.3">
      <c r="A16" s="1" t="s">
        <v>56</v>
      </c>
      <c r="B16" s="1" t="s">
        <v>57</v>
      </c>
      <c r="C16" s="1" t="s">
        <v>18</v>
      </c>
      <c r="D16" s="1" t="s">
        <v>19</v>
      </c>
      <c r="E16" s="1" t="s">
        <v>55</v>
      </c>
      <c r="F16" s="1" t="s">
        <v>27</v>
      </c>
      <c r="G16" s="2">
        <v>155</v>
      </c>
      <c r="H16" s="3">
        <v>1210000</v>
      </c>
      <c r="I16" s="3">
        <v>1030000</v>
      </c>
      <c r="J16" s="3">
        <v>980000</v>
      </c>
      <c r="K16" s="1">
        <v>7</v>
      </c>
      <c r="L16" s="1">
        <v>5</v>
      </c>
      <c r="M16" s="4">
        <f>MIS_Data[[#This Row],[Actual_Sales]]/MIS_Data[[#This Row],[Target]]</f>
        <v>0.95145631067961167</v>
      </c>
      <c r="N16" s="1" t="str">
        <f>IF(MIS_Data[[#This Row],[Actual_Sales]]&gt;=MIS_Data[[#This Row],[Target]],"Target Achieved","Target Not Achieved")</f>
        <v>Target Not Achieved</v>
      </c>
      <c r="O16" s="4">
        <f>MIS_Data[[#This Row],[Returns]]/MIS_Data[[#This Row],[Orders]]</f>
        <v>4.5161290322580643E-2</v>
      </c>
      <c r="P16" s="1" t="str">
        <f>IF(MIS_Data[[#This Row],[Achievement %]]&gt;=1,"Excellent",IF(MIS_Data[[#This Row],[Achievement %]]&gt;=0.9,"Good","Needs Improvement"))</f>
        <v>Good</v>
      </c>
    </row>
    <row r="17" spans="1:16" x14ac:dyDescent="0.3">
      <c r="A17" s="1" t="s">
        <v>58</v>
      </c>
      <c r="B17" s="1" t="s">
        <v>59</v>
      </c>
      <c r="C17" s="1" t="s">
        <v>18</v>
      </c>
      <c r="D17" s="1" t="s">
        <v>36</v>
      </c>
      <c r="E17" s="1" t="s">
        <v>55</v>
      </c>
      <c r="F17" s="1" t="s">
        <v>21</v>
      </c>
      <c r="G17" s="2">
        <v>108</v>
      </c>
      <c r="H17" s="3">
        <v>820000</v>
      </c>
      <c r="I17" s="3">
        <v>690000</v>
      </c>
      <c r="J17" s="3">
        <v>655000</v>
      </c>
      <c r="K17" s="1">
        <v>17</v>
      </c>
      <c r="L17" s="1">
        <v>13</v>
      </c>
      <c r="M17" s="4">
        <f>MIS_Data[[#This Row],[Actual_Sales]]/MIS_Data[[#This Row],[Target]]</f>
        <v>0.94927536231884058</v>
      </c>
      <c r="N17" s="1" t="str">
        <f>IF(MIS_Data[[#This Row],[Actual_Sales]]&gt;=MIS_Data[[#This Row],[Target]],"Target Achieved","Target Not Achieved")</f>
        <v>Target Not Achieved</v>
      </c>
      <c r="O17" s="4">
        <f>MIS_Data[[#This Row],[Returns]]/MIS_Data[[#This Row],[Orders]]</f>
        <v>0.15740740740740741</v>
      </c>
      <c r="P17" s="1" t="str">
        <f>IF(MIS_Data[[#This Row],[Achievement %]]&gt;=1,"Excellent",IF(MIS_Data[[#This Row],[Achievement %]]&gt;=0.9,"Good","Needs Improvement"))</f>
        <v>Good</v>
      </c>
    </row>
    <row r="18" spans="1:16" x14ac:dyDescent="0.3">
      <c r="A18" s="1" t="s">
        <v>60</v>
      </c>
      <c r="B18" s="1" t="s">
        <v>61</v>
      </c>
      <c r="C18" s="1" t="s">
        <v>30</v>
      </c>
      <c r="D18" s="1" t="s">
        <v>19</v>
      </c>
      <c r="E18" s="1" t="s">
        <v>55</v>
      </c>
      <c r="F18" s="1" t="s">
        <v>31</v>
      </c>
      <c r="G18" s="2">
        <v>62</v>
      </c>
      <c r="H18" s="3">
        <v>305000</v>
      </c>
      <c r="I18" s="3">
        <v>255000</v>
      </c>
      <c r="J18" s="3">
        <v>245000</v>
      </c>
      <c r="K18" s="1">
        <v>5</v>
      </c>
      <c r="L18" s="1">
        <v>4</v>
      </c>
      <c r="M18" s="4">
        <f>MIS_Data[[#This Row],[Actual_Sales]]/MIS_Data[[#This Row],[Target]]</f>
        <v>0.96078431372549022</v>
      </c>
      <c r="N18" s="1" t="str">
        <f>IF(MIS_Data[[#This Row],[Actual_Sales]]&gt;=MIS_Data[[#This Row],[Target]],"Target Achieved","Target Not Achieved")</f>
        <v>Target Not Achieved</v>
      </c>
      <c r="O18" s="4">
        <f>MIS_Data[[#This Row],[Returns]]/MIS_Data[[#This Row],[Orders]]</f>
        <v>8.0645161290322578E-2</v>
      </c>
      <c r="P18" s="1" t="str">
        <f>IF(MIS_Data[[#This Row],[Achievement %]]&gt;=1,"Excellent",IF(MIS_Data[[#This Row],[Achievement %]]&gt;=0.9,"Good","Needs Improvement"))</f>
        <v>Good</v>
      </c>
    </row>
    <row r="19" spans="1:16" x14ac:dyDescent="0.3">
      <c r="A19" s="1" t="s">
        <v>62</v>
      </c>
      <c r="B19" s="1" t="s">
        <v>63</v>
      </c>
      <c r="C19" s="1" t="s">
        <v>18</v>
      </c>
      <c r="D19" s="1" t="s">
        <v>24</v>
      </c>
      <c r="E19" s="1" t="s">
        <v>55</v>
      </c>
      <c r="F19" s="1" t="s">
        <v>27</v>
      </c>
      <c r="G19" s="2">
        <v>128</v>
      </c>
      <c r="H19" s="3">
        <v>990000</v>
      </c>
      <c r="I19" s="3">
        <v>840000</v>
      </c>
      <c r="J19" s="3">
        <v>800000</v>
      </c>
      <c r="K19" s="1">
        <v>13</v>
      </c>
      <c r="L19" s="1">
        <v>10</v>
      </c>
      <c r="M19" s="4">
        <f>MIS_Data[[#This Row],[Actual_Sales]]/MIS_Data[[#This Row],[Target]]</f>
        <v>0.95238095238095233</v>
      </c>
      <c r="N19" s="1" t="str">
        <f>IF(MIS_Data[[#This Row],[Actual_Sales]]&gt;=MIS_Data[[#This Row],[Target]],"Target Achieved","Target Not Achieved")</f>
        <v>Target Not Achieved</v>
      </c>
      <c r="O19" s="4">
        <f>MIS_Data[[#This Row],[Returns]]/MIS_Data[[#This Row],[Orders]]</f>
        <v>0.1015625</v>
      </c>
      <c r="P19" s="1" t="str">
        <f>IF(MIS_Data[[#This Row],[Achievement %]]&gt;=1,"Excellent",IF(MIS_Data[[#This Row],[Achievement %]]&gt;=0.9,"Good","Needs Improvement"))</f>
        <v>Good</v>
      </c>
    </row>
    <row r="20" spans="1:16" x14ac:dyDescent="0.3">
      <c r="A20" s="1" t="s">
        <v>64</v>
      </c>
      <c r="B20" s="1" t="s">
        <v>65</v>
      </c>
      <c r="C20" s="1" t="s">
        <v>39</v>
      </c>
      <c r="D20" s="1" t="s">
        <v>24</v>
      </c>
      <c r="E20" s="1" t="s">
        <v>55</v>
      </c>
      <c r="F20" s="1" t="s">
        <v>31</v>
      </c>
      <c r="G20" s="2">
        <v>57</v>
      </c>
      <c r="H20" s="3">
        <v>295000</v>
      </c>
      <c r="I20" s="3">
        <v>245000</v>
      </c>
      <c r="J20" s="3">
        <v>232000</v>
      </c>
      <c r="K20" s="1">
        <v>6</v>
      </c>
      <c r="L20" s="1">
        <v>4</v>
      </c>
      <c r="M20" s="4">
        <f>MIS_Data[[#This Row],[Actual_Sales]]/MIS_Data[[#This Row],[Target]]</f>
        <v>0.94693877551020411</v>
      </c>
      <c r="N20" s="1" t="str">
        <f>IF(MIS_Data[[#This Row],[Actual_Sales]]&gt;=MIS_Data[[#This Row],[Target]],"Target Achieved","Target Not Achieved")</f>
        <v>Target Not Achieved</v>
      </c>
      <c r="O20" s="4">
        <f>MIS_Data[[#This Row],[Returns]]/MIS_Data[[#This Row],[Orders]]</f>
        <v>0.10526315789473684</v>
      </c>
      <c r="P20" s="1" t="str">
        <f>IF(MIS_Data[[#This Row],[Achievement %]]&gt;=1,"Excellent",IF(MIS_Data[[#This Row],[Achievement %]]&gt;=0.9,"Good","Needs Improvement"))</f>
        <v>Good</v>
      </c>
    </row>
    <row r="21" spans="1:16" x14ac:dyDescent="0.3">
      <c r="A21" s="1" t="s">
        <v>66</v>
      </c>
      <c r="B21" s="1" t="s">
        <v>67</v>
      </c>
      <c r="C21" s="1" t="s">
        <v>18</v>
      </c>
      <c r="D21" s="1" t="s">
        <v>19</v>
      </c>
      <c r="E21" s="1" t="s">
        <v>55</v>
      </c>
      <c r="F21" s="1" t="s">
        <v>21</v>
      </c>
      <c r="G21" s="2">
        <v>148</v>
      </c>
      <c r="H21" s="3">
        <v>1160000</v>
      </c>
      <c r="I21" s="3">
        <v>990000</v>
      </c>
      <c r="J21" s="3">
        <v>945000</v>
      </c>
      <c r="K21" s="1">
        <v>9</v>
      </c>
      <c r="L21" s="1">
        <v>7</v>
      </c>
      <c r="M21" s="4">
        <f>MIS_Data[[#This Row],[Actual_Sales]]/MIS_Data[[#This Row],[Target]]</f>
        <v>0.95454545454545459</v>
      </c>
      <c r="N21" s="1" t="str">
        <f>IF(MIS_Data[[#This Row],[Actual_Sales]]&gt;=MIS_Data[[#This Row],[Target]],"Target Achieved","Target Not Achieved")</f>
        <v>Target Not Achieved</v>
      </c>
      <c r="O21" s="4">
        <f>MIS_Data[[#This Row],[Returns]]/MIS_Data[[#This Row],[Orders]]</f>
        <v>6.0810810810810814E-2</v>
      </c>
      <c r="P21" s="1" t="str">
        <f>IF(MIS_Data[[#This Row],[Achievement %]]&gt;=1,"Excellent",IF(MIS_Data[[#This Row],[Achievement %]]&gt;=0.9,"Good","Needs Improvement"))</f>
        <v>Good</v>
      </c>
    </row>
    <row r="22" spans="1:16" x14ac:dyDescent="0.3">
      <c r="A22" s="1" t="s">
        <v>68</v>
      </c>
      <c r="B22" s="1" t="s">
        <v>69</v>
      </c>
      <c r="C22" s="1" t="s">
        <v>18</v>
      </c>
      <c r="D22" s="1" t="s">
        <v>19</v>
      </c>
      <c r="E22" s="1" t="s">
        <v>70</v>
      </c>
      <c r="F22" s="1" t="s">
        <v>21</v>
      </c>
      <c r="G22" s="2">
        <v>160</v>
      </c>
      <c r="H22" s="3">
        <v>1280000</v>
      </c>
      <c r="I22" s="3">
        <v>1080000</v>
      </c>
      <c r="J22" s="3">
        <v>1030000</v>
      </c>
      <c r="K22" s="1">
        <v>6</v>
      </c>
      <c r="L22" s="1">
        <v>5</v>
      </c>
      <c r="M22" s="4">
        <f>MIS_Data[[#This Row],[Actual_Sales]]/MIS_Data[[#This Row],[Target]]</f>
        <v>0.95370370370370372</v>
      </c>
      <c r="N22" s="1" t="str">
        <f>IF(MIS_Data[[#This Row],[Actual_Sales]]&gt;=MIS_Data[[#This Row],[Target]],"Target Achieved","Target Not Achieved")</f>
        <v>Target Not Achieved</v>
      </c>
      <c r="O22" s="4">
        <f>MIS_Data[[#This Row],[Returns]]/MIS_Data[[#This Row],[Orders]]</f>
        <v>3.7499999999999999E-2</v>
      </c>
      <c r="P22" s="1" t="str">
        <f>IF(MIS_Data[[#This Row],[Achievement %]]&gt;=1,"Excellent",IF(MIS_Data[[#This Row],[Achievement %]]&gt;=0.9,"Good","Needs Improvement"))</f>
        <v>Good</v>
      </c>
    </row>
    <row r="23" spans="1:16" x14ac:dyDescent="0.3">
      <c r="A23" s="1" t="s">
        <v>71</v>
      </c>
      <c r="B23" s="1" t="s">
        <v>72</v>
      </c>
      <c r="C23" s="1" t="s">
        <v>18</v>
      </c>
      <c r="D23" s="1" t="s">
        <v>24</v>
      </c>
      <c r="E23" s="1" t="s">
        <v>70</v>
      </c>
      <c r="F23" s="1" t="s">
        <v>27</v>
      </c>
      <c r="G23" s="2">
        <v>132</v>
      </c>
      <c r="H23" s="3">
        <v>1010000</v>
      </c>
      <c r="I23" s="3">
        <v>860000</v>
      </c>
      <c r="J23" s="3">
        <v>820000</v>
      </c>
      <c r="K23" s="1">
        <v>12</v>
      </c>
      <c r="L23" s="1">
        <v>9</v>
      </c>
      <c r="M23" s="4">
        <f>MIS_Data[[#This Row],[Actual_Sales]]/MIS_Data[[#This Row],[Target]]</f>
        <v>0.95348837209302328</v>
      </c>
      <c r="N23" s="1" t="str">
        <f>IF(MIS_Data[[#This Row],[Actual_Sales]]&gt;=MIS_Data[[#This Row],[Target]],"Target Achieved","Target Not Achieved")</f>
        <v>Target Not Achieved</v>
      </c>
      <c r="O23" s="4">
        <f>MIS_Data[[#This Row],[Returns]]/MIS_Data[[#This Row],[Orders]]</f>
        <v>9.0909090909090912E-2</v>
      </c>
      <c r="P23" s="1" t="str">
        <f>IF(MIS_Data[[#This Row],[Achievement %]]&gt;=1,"Excellent",IF(MIS_Data[[#This Row],[Achievement %]]&gt;=0.9,"Good","Needs Improvement"))</f>
        <v>Good</v>
      </c>
    </row>
    <row r="24" spans="1:16" x14ac:dyDescent="0.3">
      <c r="A24" s="1" t="s">
        <v>73</v>
      </c>
      <c r="B24" s="1" t="s">
        <v>74</v>
      </c>
      <c r="C24" s="1" t="s">
        <v>18</v>
      </c>
      <c r="D24" s="1" t="s">
        <v>36</v>
      </c>
      <c r="E24" s="1" t="s">
        <v>70</v>
      </c>
      <c r="F24" s="1" t="s">
        <v>21</v>
      </c>
      <c r="G24" s="2">
        <v>118</v>
      </c>
      <c r="H24" s="3">
        <v>900000</v>
      </c>
      <c r="I24" s="3">
        <v>760000</v>
      </c>
      <c r="J24" s="3">
        <v>725000</v>
      </c>
      <c r="K24" s="1">
        <v>15</v>
      </c>
      <c r="L24" s="1">
        <v>11</v>
      </c>
      <c r="M24" s="4">
        <f>MIS_Data[[#This Row],[Actual_Sales]]/MIS_Data[[#This Row],[Target]]</f>
        <v>0.95394736842105265</v>
      </c>
      <c r="N24" s="1" t="str">
        <f>IF(MIS_Data[[#This Row],[Actual_Sales]]&gt;=MIS_Data[[#This Row],[Target]],"Target Achieved","Target Not Achieved")</f>
        <v>Target Not Achieved</v>
      </c>
      <c r="O24" s="4">
        <f>MIS_Data[[#This Row],[Returns]]/MIS_Data[[#This Row],[Orders]]</f>
        <v>0.1271186440677966</v>
      </c>
      <c r="P24" s="1" t="str">
        <f>IF(MIS_Data[[#This Row],[Achievement %]]&gt;=1,"Excellent",IF(MIS_Data[[#This Row],[Achievement %]]&gt;=0.9,"Good","Needs Improvement"))</f>
        <v>Good</v>
      </c>
    </row>
    <row r="25" spans="1:16" x14ac:dyDescent="0.3">
      <c r="A25" s="1" t="s">
        <v>75</v>
      </c>
      <c r="B25" s="1" t="s">
        <v>76</v>
      </c>
      <c r="C25" s="1" t="s">
        <v>30</v>
      </c>
      <c r="D25" s="1" t="s">
        <v>24</v>
      </c>
      <c r="E25" s="1" t="s">
        <v>70</v>
      </c>
      <c r="F25" s="1" t="s">
        <v>31</v>
      </c>
      <c r="G25" s="2">
        <v>68</v>
      </c>
      <c r="H25" s="3">
        <v>325000</v>
      </c>
      <c r="I25" s="3">
        <v>275000</v>
      </c>
      <c r="J25" s="3">
        <v>260000</v>
      </c>
      <c r="K25" s="1">
        <v>5</v>
      </c>
      <c r="L25" s="1">
        <v>4</v>
      </c>
      <c r="M25" s="4">
        <f>MIS_Data[[#This Row],[Actual_Sales]]/MIS_Data[[#This Row],[Target]]</f>
        <v>0.94545454545454544</v>
      </c>
      <c r="N25" s="1" t="str">
        <f>IF(MIS_Data[[#This Row],[Actual_Sales]]&gt;=MIS_Data[[#This Row],[Target]],"Target Achieved","Target Not Achieved")</f>
        <v>Target Not Achieved</v>
      </c>
      <c r="O25" s="4">
        <f>MIS_Data[[#This Row],[Returns]]/MIS_Data[[#This Row],[Orders]]</f>
        <v>7.3529411764705885E-2</v>
      </c>
      <c r="P25" s="1" t="str">
        <f>IF(MIS_Data[[#This Row],[Achievement %]]&gt;=1,"Excellent",IF(MIS_Data[[#This Row],[Achievement %]]&gt;=0.9,"Good","Needs Improvement"))</f>
        <v>Good</v>
      </c>
    </row>
    <row r="26" spans="1:16" x14ac:dyDescent="0.3">
      <c r="A26" s="1" t="s">
        <v>77</v>
      </c>
      <c r="B26" s="1" t="s">
        <v>78</v>
      </c>
      <c r="C26" s="1" t="s">
        <v>18</v>
      </c>
      <c r="D26" s="1" t="s">
        <v>19</v>
      </c>
      <c r="E26" s="1" t="s">
        <v>70</v>
      </c>
      <c r="F26" s="1" t="s">
        <v>27</v>
      </c>
      <c r="G26" s="2">
        <v>152</v>
      </c>
      <c r="H26" s="3">
        <v>1190000</v>
      </c>
      <c r="I26" s="3">
        <v>1010000</v>
      </c>
      <c r="J26" s="3">
        <v>970000</v>
      </c>
      <c r="K26" s="1">
        <v>8</v>
      </c>
      <c r="L26" s="1">
        <v>6</v>
      </c>
      <c r="M26" s="4">
        <f>MIS_Data[[#This Row],[Actual_Sales]]/MIS_Data[[#This Row],[Target]]</f>
        <v>0.96039603960396036</v>
      </c>
      <c r="N26" s="1" t="str">
        <f>IF(MIS_Data[[#This Row],[Actual_Sales]]&gt;=MIS_Data[[#This Row],[Target]],"Target Achieved","Target Not Achieved")</f>
        <v>Target Not Achieved</v>
      </c>
      <c r="O26" s="4">
        <f>MIS_Data[[#This Row],[Returns]]/MIS_Data[[#This Row],[Orders]]</f>
        <v>5.2631578947368418E-2</v>
      </c>
      <c r="P26" s="1" t="str">
        <f>IF(MIS_Data[[#This Row],[Achievement %]]&gt;=1,"Excellent",IF(MIS_Data[[#This Row],[Achievement %]]&gt;=0.9,"Good","Needs Improvement"))</f>
        <v>Good</v>
      </c>
    </row>
    <row r="27" spans="1:16" x14ac:dyDescent="0.3">
      <c r="A27" s="1" t="s">
        <v>79</v>
      </c>
      <c r="B27" s="1" t="s">
        <v>80</v>
      </c>
      <c r="C27" s="1" t="s">
        <v>39</v>
      </c>
      <c r="D27" s="1" t="s">
        <v>19</v>
      </c>
      <c r="E27" s="1" t="s">
        <v>70</v>
      </c>
      <c r="F27" s="1" t="s">
        <v>31</v>
      </c>
      <c r="G27" s="2">
        <v>61</v>
      </c>
      <c r="H27" s="3">
        <v>315000</v>
      </c>
      <c r="I27" s="3">
        <v>265000</v>
      </c>
      <c r="J27" s="3">
        <v>250000</v>
      </c>
      <c r="K27" s="1">
        <v>6</v>
      </c>
      <c r="L27" s="1">
        <v>5</v>
      </c>
      <c r="M27" s="4">
        <f>MIS_Data[[#This Row],[Actual_Sales]]/MIS_Data[[#This Row],[Target]]</f>
        <v>0.94339622641509435</v>
      </c>
      <c r="N27" s="1" t="str">
        <f>IF(MIS_Data[[#This Row],[Actual_Sales]]&gt;=MIS_Data[[#This Row],[Target]],"Target Achieved","Target Not Achieved")</f>
        <v>Target Not Achieved</v>
      </c>
      <c r="O27" s="4">
        <f>MIS_Data[[#This Row],[Returns]]/MIS_Data[[#This Row],[Orders]]</f>
        <v>9.8360655737704916E-2</v>
      </c>
      <c r="P27" s="1" t="str">
        <f>IF(MIS_Data[[#This Row],[Achievement %]]&gt;=1,"Excellent",IF(MIS_Data[[#This Row],[Achievement %]]&gt;=0.9,"Good","Needs Improvement"))</f>
        <v>Good</v>
      </c>
    </row>
    <row r="28" spans="1:16" x14ac:dyDescent="0.3">
      <c r="A28" s="1" t="s">
        <v>81</v>
      </c>
      <c r="B28" s="1" t="s">
        <v>82</v>
      </c>
      <c r="C28" s="1" t="s">
        <v>18</v>
      </c>
      <c r="D28" s="1" t="s">
        <v>24</v>
      </c>
      <c r="E28" s="1" t="s">
        <v>83</v>
      </c>
      <c r="F28" s="1" t="s">
        <v>21</v>
      </c>
      <c r="G28" s="2">
        <v>142</v>
      </c>
      <c r="H28" s="3">
        <v>1090000</v>
      </c>
      <c r="I28" s="3">
        <v>920000</v>
      </c>
      <c r="J28" s="3">
        <v>880000</v>
      </c>
      <c r="K28" s="1">
        <v>10</v>
      </c>
      <c r="L28" s="1">
        <v>8</v>
      </c>
      <c r="M28" s="4">
        <f>MIS_Data[[#This Row],[Actual_Sales]]/MIS_Data[[#This Row],[Target]]</f>
        <v>0.95652173913043481</v>
      </c>
      <c r="N28" s="1" t="str">
        <f>IF(MIS_Data[[#This Row],[Actual_Sales]]&gt;=MIS_Data[[#This Row],[Target]],"Target Achieved","Target Not Achieved")</f>
        <v>Target Not Achieved</v>
      </c>
      <c r="O28" s="4">
        <f>MIS_Data[[#This Row],[Returns]]/MIS_Data[[#This Row],[Orders]]</f>
        <v>7.0422535211267609E-2</v>
      </c>
      <c r="P28" s="1" t="str">
        <f>IF(MIS_Data[[#This Row],[Achievement %]]&gt;=1,"Excellent",IF(MIS_Data[[#This Row],[Achievement %]]&gt;=0.9,"Good","Needs Improvement"))</f>
        <v>Good</v>
      </c>
    </row>
    <row r="29" spans="1:16" x14ac:dyDescent="0.3">
      <c r="A29" s="1" t="s">
        <v>84</v>
      </c>
      <c r="B29" s="1" t="s">
        <v>85</v>
      </c>
      <c r="C29" s="1" t="s">
        <v>18</v>
      </c>
      <c r="D29" s="1" t="s">
        <v>19</v>
      </c>
      <c r="E29" s="1" t="s">
        <v>83</v>
      </c>
      <c r="F29" s="1" t="s">
        <v>27</v>
      </c>
      <c r="G29" s="2">
        <v>165</v>
      </c>
      <c r="H29" s="3">
        <v>1320000</v>
      </c>
      <c r="I29" s="3">
        <v>1120000</v>
      </c>
      <c r="J29" s="3">
        <v>1080000</v>
      </c>
      <c r="K29" s="1">
        <v>5</v>
      </c>
      <c r="L29" s="1">
        <v>4</v>
      </c>
      <c r="M29" s="4">
        <f>MIS_Data[[#This Row],[Actual_Sales]]/MIS_Data[[#This Row],[Target]]</f>
        <v>0.9642857142857143</v>
      </c>
      <c r="N29" s="1" t="str">
        <f>IF(MIS_Data[[#This Row],[Actual_Sales]]&gt;=MIS_Data[[#This Row],[Target]],"Target Achieved","Target Not Achieved")</f>
        <v>Target Not Achieved</v>
      </c>
      <c r="O29" s="4">
        <f>MIS_Data[[#This Row],[Returns]]/MIS_Data[[#This Row],[Orders]]</f>
        <v>3.0303030303030304E-2</v>
      </c>
      <c r="P29" s="1" t="str">
        <f>IF(MIS_Data[[#This Row],[Achievement %]]&gt;=1,"Excellent",IF(MIS_Data[[#This Row],[Achievement %]]&gt;=0.9,"Good","Needs Improvement"))</f>
        <v>Good</v>
      </c>
    </row>
    <row r="30" spans="1:16" x14ac:dyDescent="0.3">
      <c r="A30" s="1" t="s">
        <v>86</v>
      </c>
      <c r="B30" s="1" t="s">
        <v>87</v>
      </c>
      <c r="C30" s="1" t="s">
        <v>18</v>
      </c>
      <c r="D30" s="1" t="s">
        <v>36</v>
      </c>
      <c r="E30" s="1" t="s">
        <v>83</v>
      </c>
      <c r="F30" s="1" t="s">
        <v>21</v>
      </c>
      <c r="G30" s="2">
        <v>121</v>
      </c>
      <c r="H30" s="3">
        <v>930000</v>
      </c>
      <c r="I30" s="3">
        <v>790000</v>
      </c>
      <c r="J30" s="3">
        <v>750000</v>
      </c>
      <c r="K30" s="1">
        <v>14</v>
      </c>
      <c r="L30" s="1">
        <v>10</v>
      </c>
      <c r="M30" s="4">
        <f>MIS_Data[[#This Row],[Actual_Sales]]/MIS_Data[[#This Row],[Target]]</f>
        <v>0.94936708860759489</v>
      </c>
      <c r="N30" s="1" t="str">
        <f>IF(MIS_Data[[#This Row],[Actual_Sales]]&gt;=MIS_Data[[#This Row],[Target]],"Target Achieved","Target Not Achieved")</f>
        <v>Target Not Achieved</v>
      </c>
      <c r="O30" s="4">
        <f>MIS_Data[[#This Row],[Returns]]/MIS_Data[[#This Row],[Orders]]</f>
        <v>0.11570247933884298</v>
      </c>
      <c r="P30" s="1" t="str">
        <f>IF(MIS_Data[[#This Row],[Achievement %]]&gt;=1,"Excellent",IF(MIS_Data[[#This Row],[Achievement %]]&gt;=0.9,"Good","Needs Improvement"))</f>
        <v>Good</v>
      </c>
    </row>
    <row r="31" spans="1:16" x14ac:dyDescent="0.3">
      <c r="A31" s="1" t="s">
        <v>88</v>
      </c>
      <c r="B31" s="1" t="s">
        <v>89</v>
      </c>
      <c r="C31" s="1" t="s">
        <v>18</v>
      </c>
      <c r="D31" s="1" t="s">
        <v>19</v>
      </c>
      <c r="E31" s="1" t="s">
        <v>83</v>
      </c>
      <c r="F31" s="1" t="s">
        <v>21</v>
      </c>
      <c r="G31" s="2">
        <v>158</v>
      </c>
      <c r="H31" s="3">
        <v>1250000</v>
      </c>
      <c r="I31" s="3">
        <v>1060000</v>
      </c>
      <c r="J31" s="3">
        <v>1015000</v>
      </c>
      <c r="K31" s="1">
        <v>7</v>
      </c>
      <c r="L31" s="1">
        <v>5</v>
      </c>
      <c r="M31" s="4">
        <f>MIS_Data[[#This Row],[Actual_Sales]]/MIS_Data[[#This Row],[Target]]</f>
        <v>0.95754716981132071</v>
      </c>
      <c r="N31" s="1" t="str">
        <f>IF(MIS_Data[[#This Row],[Actual_Sales]]&gt;=MIS_Data[[#This Row],[Target]],"Target Achieved","Target Not Achieved")</f>
        <v>Target Not Achieved</v>
      </c>
      <c r="O31" s="4">
        <f>MIS_Data[[#This Row],[Returns]]/MIS_Data[[#This Row],[Orders]]</f>
        <v>4.4303797468354431E-2</v>
      </c>
      <c r="P31" s="1" t="str">
        <f>IF(MIS_Data[[#This Row],[Achievement %]]&gt;=1,"Excellent",IF(MIS_Data[[#This Row],[Achievement %]]&gt;=0.9,"Good","Needs Improvement"))</f>
        <v>Good</v>
      </c>
    </row>
  </sheetData>
  <conditionalFormatting sqref="M2:M31">
    <cfRule type="cellIs" dxfId="6" priority="2" operator="greaterThanOrEqual">
      <formula>1</formula>
    </cfRule>
    <cfRule type="cellIs" dxfId="5" priority="3" operator="between">
      <formula>0.9</formula>
      <formula>0.99999</formula>
    </cfRule>
    <cfRule type="cellIs" dxfId="4" priority="4" operator="lessThan">
      <formula>0.9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topLeftCell="A18" zoomScaleNormal="100" workbookViewId="0">
      <selection activeCell="E17" sqref="E17"/>
    </sheetView>
  </sheetViews>
  <sheetFormatPr defaultColWidth="8.6640625" defaultRowHeight="14.4" x14ac:dyDescent="0.3"/>
  <cols>
    <col min="1" max="1" width="22" customWidth="1"/>
    <col min="2" max="2" width="18" customWidth="1"/>
    <col min="3" max="4" width="16" customWidth="1"/>
    <col min="5" max="5" width="14" customWidth="1"/>
    <col min="6" max="6" width="12" customWidth="1"/>
    <col min="7" max="9" width="16" customWidth="1"/>
  </cols>
  <sheetData>
    <row r="1" spans="1:9" ht="21" x14ac:dyDescent="0.4">
      <c r="A1" s="5" t="s">
        <v>90</v>
      </c>
    </row>
    <row r="2" spans="1:9" x14ac:dyDescent="0.3">
      <c r="A2" s="6" t="s">
        <v>91</v>
      </c>
    </row>
    <row r="4" spans="1:9" x14ac:dyDescent="0.3">
      <c r="A4" s="7" t="s">
        <v>92</v>
      </c>
      <c r="D4" s="7" t="s">
        <v>93</v>
      </c>
    </row>
    <row r="5" spans="1:9" x14ac:dyDescent="0.3">
      <c r="A5" s="8" t="s">
        <v>94</v>
      </c>
      <c r="D5" s="8" t="s">
        <v>95</v>
      </c>
    </row>
    <row r="6" spans="1:9" x14ac:dyDescent="0.3">
      <c r="A6" s="9" t="s">
        <v>2</v>
      </c>
      <c r="B6" s="10" t="str">
        <f>IF(MIS_Dashboard!$C$4="All","*",MIS_Dashboard!$C$4)</f>
        <v>*</v>
      </c>
      <c r="D6" s="24" t="s">
        <v>96</v>
      </c>
      <c r="E6" s="24"/>
      <c r="F6" s="11">
        <f>ROWS(MIS_Data[Employee_ID])</f>
        <v>30</v>
      </c>
      <c r="G6" s="8" t="s">
        <v>97</v>
      </c>
    </row>
    <row r="7" spans="1:9" x14ac:dyDescent="0.3">
      <c r="A7" s="9" t="s">
        <v>3</v>
      </c>
      <c r="B7" s="10" t="str">
        <f>IF(MIS_Dashboard!$F$4="All","*",MIS_Dashboard!$F$4)</f>
        <v>*</v>
      </c>
      <c r="D7" s="24" t="s">
        <v>98</v>
      </c>
      <c r="E7" s="24"/>
      <c r="F7" s="11">
        <f>SUMPRODUCT((COUNTIF(MIS_Data[Employee_ID],MIS_Data[Employee_ID])&gt;1)*1)</f>
        <v>0</v>
      </c>
      <c r="G7" s="8" t="s">
        <v>99</v>
      </c>
    </row>
    <row r="8" spans="1:9" x14ac:dyDescent="0.3">
      <c r="A8" s="9" t="s">
        <v>4</v>
      </c>
      <c r="B8" s="10" t="str">
        <f>IF(MIS_Dashboard!$I$4="All","*",MIS_Dashboard!$I$4)</f>
        <v>*</v>
      </c>
      <c r="D8" s="24" t="s">
        <v>100</v>
      </c>
      <c r="E8" s="24"/>
      <c r="F8" s="11">
        <f>COUNTBLANK(MIS_Data!$A$2:$L$31)</f>
        <v>0</v>
      </c>
      <c r="G8" s="8" t="s">
        <v>99</v>
      </c>
    </row>
    <row r="9" spans="1:9" x14ac:dyDescent="0.3">
      <c r="A9" s="9" t="s">
        <v>5</v>
      </c>
      <c r="B9" s="10" t="str">
        <f>IF(MIS_Dashboard!$L$4="All","*",MIS_Dashboard!$L$4)</f>
        <v>*</v>
      </c>
      <c r="D9" s="24" t="s">
        <v>101</v>
      </c>
      <c r="E9" s="24"/>
      <c r="F9" s="11">
        <f>ROWS(MIS_Data[Revenue])-COUNT(MIS_Data[Revenue])</f>
        <v>0</v>
      </c>
      <c r="G9" s="8" t="s">
        <v>99</v>
      </c>
    </row>
    <row r="12" spans="1:9" x14ac:dyDescent="0.3">
      <c r="A12" s="7" t="s">
        <v>102</v>
      </c>
      <c r="G12" s="7" t="s">
        <v>103</v>
      </c>
    </row>
    <row r="13" spans="1:9" x14ac:dyDescent="0.3">
      <c r="A13" s="8" t="s">
        <v>104</v>
      </c>
      <c r="G13" s="8" t="s">
        <v>105</v>
      </c>
    </row>
    <row r="14" spans="1:9" x14ac:dyDescent="0.3">
      <c r="A14" s="12" t="s">
        <v>4</v>
      </c>
      <c r="B14" s="12" t="s">
        <v>7</v>
      </c>
      <c r="C14" s="12" t="s">
        <v>9</v>
      </c>
      <c r="D14" s="12" t="s">
        <v>8</v>
      </c>
      <c r="G14" s="12" t="s">
        <v>3</v>
      </c>
      <c r="H14" s="12" t="s">
        <v>7</v>
      </c>
      <c r="I14" s="12" t="s">
        <v>9</v>
      </c>
    </row>
    <row r="15" spans="1:9" x14ac:dyDescent="0.3">
      <c r="A15" s="11" t="s">
        <v>20</v>
      </c>
      <c r="B15" s="13">
        <f>SUMIFS(MIS_Data[Revenue],MIS_Data[Month],$A15,MIS_Data[Department],MIS_Analysis!$B$6,MIS_Data[City],MIS_Analysis!$B$7,MIS_Data[Channel],MIS_Analysis!$B$9)</f>
        <v>5320000</v>
      </c>
      <c r="C15" s="13">
        <f>SUMIFS(MIS_Data[Actual_Sales],MIS_Data[Month],$A15,MIS_Data[Department],MIS_Analysis!$B$6,MIS_Data[City],MIS_Analysis!$B$7,MIS_Data[Channel],MIS_Analysis!$B$9)</f>
        <v>4260000</v>
      </c>
      <c r="D15" s="13">
        <f>SUMIFS(MIS_Data[Target],MIS_Data[Month],$A15,MIS_Data[Department],MIS_Analysis!$B$6,MIS_Data[City],MIS_Analysis!$B$7,MIS_Data[Channel],MIS_Analysis!$B$9)</f>
        <v>4500000</v>
      </c>
      <c r="G15" s="11" t="s">
        <v>19</v>
      </c>
      <c r="H15" s="13">
        <f>SUMIFS(MIS_Data[Revenue],MIS_Data[City],$G15,MIS_Data[Department],MIS_Analysis!$B$6,MIS_Data[Month],MIS_Analysis!$B$8,MIS_Data[Channel],MIS_Analysis!$B$9)</f>
        <v>13290000</v>
      </c>
      <c r="I15" s="13">
        <f>SUMIFS(MIS_Data[Actual_Sales],MIS_Data[City],$G15,MIS_Data[Department],MIS_Analysis!$B$6,MIS_Data[Month],MIS_Analysis!$B$8,MIS_Data[Channel],MIS_Analysis!$B$9)</f>
        <v>10743000</v>
      </c>
    </row>
    <row r="16" spans="1:9" x14ac:dyDescent="0.3">
      <c r="A16" s="11" t="s">
        <v>42</v>
      </c>
      <c r="B16" s="13">
        <f>SUMIFS(MIS_Data[Revenue],MIS_Data[Month],$A16,MIS_Data[Department],MIS_Analysis!$B$6,MIS_Data[City],MIS_Analysis!$B$7,MIS_Data[Channel],MIS_Analysis!$B$9)</f>
        <v>4700000</v>
      </c>
      <c r="C16" s="13">
        <f>SUMIFS(MIS_Data[Actual_Sales],MIS_Data[Month],$A16,MIS_Data[Department],MIS_Analysis!$B$6,MIS_Data[City],MIS_Analysis!$B$7,MIS_Data[Channel],MIS_Analysis!$B$9)</f>
        <v>3783000</v>
      </c>
      <c r="D16" s="13">
        <f>SUMIFS(MIS_Data[Target],MIS_Data[Month],$A16,MIS_Data[Department],MIS_Analysis!$B$6,MIS_Data[City],MIS_Analysis!$B$7,MIS_Data[Channel],MIS_Analysis!$B$9)</f>
        <v>3980000</v>
      </c>
      <c r="G16" s="11" t="s">
        <v>24</v>
      </c>
      <c r="H16" s="13">
        <f>SUMIFS(MIS_Data[Revenue],MIS_Data[City],$G16,MIS_Data[Department],MIS_Analysis!$B$6,MIS_Data[Month],MIS_Analysis!$B$8,MIS_Data[Channel],MIS_Analysis!$B$9)</f>
        <v>7860000</v>
      </c>
      <c r="I16" s="13">
        <f>SUMIFS(MIS_Data[Actual_Sales],MIS_Data[City],$G16,MIS_Data[Department],MIS_Analysis!$B$6,MIS_Data[Month],MIS_Analysis!$B$8,MIS_Data[Channel],MIS_Analysis!$B$9)</f>
        <v>6357000</v>
      </c>
    </row>
    <row r="17" spans="1:9" x14ac:dyDescent="0.3">
      <c r="A17" s="11" t="s">
        <v>55</v>
      </c>
      <c r="B17" s="13">
        <f>SUMIFS(MIS_Data[Revenue],MIS_Data[Month],$A17,MIS_Data[Department],MIS_Analysis!$B$6,MIS_Data[City],MIS_Analysis!$B$7,MIS_Data[Channel],MIS_Analysis!$B$9)</f>
        <v>5830000</v>
      </c>
      <c r="C17" s="13">
        <f>SUMIFS(MIS_Data[Actual_Sales],MIS_Data[Month],$A17,MIS_Data[Department],MIS_Analysis!$B$6,MIS_Data[City],MIS_Analysis!$B$7,MIS_Data[Channel],MIS_Analysis!$B$9)</f>
        <v>4717000</v>
      </c>
      <c r="D17" s="13">
        <f>SUMIFS(MIS_Data[Target],MIS_Data[Month],$A17,MIS_Data[Department],MIS_Analysis!$B$6,MIS_Data[City],MIS_Analysis!$B$7,MIS_Data[Channel],MIS_Analysis!$B$9)</f>
        <v>4950000</v>
      </c>
      <c r="G17" s="11" t="s">
        <v>36</v>
      </c>
      <c r="H17" s="13">
        <f>SUMIFS(MIS_Data[Revenue],MIS_Data[City],$G17,MIS_Data[Department],MIS_Analysis!$B$6,MIS_Data[Month],MIS_Analysis!$B$8,MIS_Data[Channel],MIS_Analysis!$B$9)</f>
        <v>4310000</v>
      </c>
      <c r="I17" s="13">
        <f>SUMIFS(MIS_Data[Actual_Sales],MIS_Data[City],$G17,MIS_Data[Department],MIS_Analysis!$B$6,MIS_Data[Month],MIS_Analysis!$B$8,MIS_Data[Channel],MIS_Analysis!$B$9)</f>
        <v>3440000</v>
      </c>
    </row>
    <row r="18" spans="1:9" x14ac:dyDescent="0.3">
      <c r="A18" s="11" t="s">
        <v>70</v>
      </c>
      <c r="B18" s="13">
        <f>SUMIFS(MIS_Data[Revenue],MIS_Data[Month],$A18,MIS_Data[Department],MIS_Analysis!$B$6,MIS_Data[City],MIS_Analysis!$B$7,MIS_Data[Channel],MIS_Analysis!$B$9)</f>
        <v>5020000</v>
      </c>
      <c r="C18" s="13">
        <f>SUMIFS(MIS_Data[Actual_Sales],MIS_Data[Month],$A18,MIS_Data[Department],MIS_Analysis!$B$6,MIS_Data[City],MIS_Analysis!$B$7,MIS_Data[Channel],MIS_Analysis!$B$9)</f>
        <v>4055000</v>
      </c>
      <c r="D18" s="13">
        <f>SUMIFS(MIS_Data[Target],MIS_Data[Month],$A18,MIS_Data[Department],MIS_Analysis!$B$6,MIS_Data[City],MIS_Analysis!$B$7,MIS_Data[Channel],MIS_Analysis!$B$9)</f>
        <v>4250000</v>
      </c>
      <c r="G18" s="14" t="s">
        <v>106</v>
      </c>
      <c r="H18" s="15">
        <f>SUM(H15:H17)</f>
        <v>25460000</v>
      </c>
      <c r="I18" s="15">
        <f>SUM(I15:I17)</f>
        <v>20540000</v>
      </c>
    </row>
    <row r="19" spans="1:9" x14ac:dyDescent="0.3">
      <c r="A19" s="11" t="s">
        <v>83</v>
      </c>
      <c r="B19" s="13">
        <f>SUMIFS(MIS_Data[Revenue],MIS_Data[Month],$A19,MIS_Data[Department],MIS_Analysis!$B$6,MIS_Data[City],MIS_Analysis!$B$7,MIS_Data[Channel],MIS_Analysis!$B$9)</f>
        <v>4590000</v>
      </c>
      <c r="C19" s="13">
        <f>SUMIFS(MIS_Data[Actual_Sales],MIS_Data[Month],$A19,MIS_Data[Department],MIS_Analysis!$B$6,MIS_Data[City],MIS_Analysis!$B$7,MIS_Data[Channel],MIS_Analysis!$B$9)</f>
        <v>3725000</v>
      </c>
      <c r="D19" s="13">
        <f>SUMIFS(MIS_Data[Target],MIS_Data[Month],$A19,MIS_Data[Department],MIS_Analysis!$B$6,MIS_Data[City],MIS_Analysis!$B$7,MIS_Data[Channel],MIS_Analysis!$B$9)</f>
        <v>3890000</v>
      </c>
    </row>
    <row r="20" spans="1:9" x14ac:dyDescent="0.3">
      <c r="A20" s="14" t="s">
        <v>106</v>
      </c>
      <c r="B20" s="15">
        <f>SUM(B15:B19)</f>
        <v>25460000</v>
      </c>
      <c r="C20" s="15">
        <f>SUM(C15:C19)</f>
        <v>20540000</v>
      </c>
      <c r="D20" s="15">
        <f>SUM(D15:D19)</f>
        <v>21570000</v>
      </c>
    </row>
    <row r="23" spans="1:9" x14ac:dyDescent="0.3">
      <c r="A23" s="7" t="s">
        <v>107</v>
      </c>
      <c r="G23" s="7" t="s">
        <v>108</v>
      </c>
    </row>
    <row r="24" spans="1:9" x14ac:dyDescent="0.3">
      <c r="A24" s="8" t="s">
        <v>109</v>
      </c>
      <c r="G24" s="8" t="s">
        <v>110</v>
      </c>
    </row>
    <row r="25" spans="1:9" ht="27" x14ac:dyDescent="0.3">
      <c r="A25" s="12" t="s">
        <v>2</v>
      </c>
      <c r="B25" s="12" t="s">
        <v>111</v>
      </c>
      <c r="G25" s="12" t="s">
        <v>5</v>
      </c>
      <c r="H25" s="12" t="s">
        <v>6</v>
      </c>
      <c r="I25" s="12" t="s">
        <v>7</v>
      </c>
    </row>
    <row r="26" spans="1:9" x14ac:dyDescent="0.3">
      <c r="A26" s="11" t="s">
        <v>18</v>
      </c>
      <c r="B26" s="16">
        <f>IFERROR(AVERAGEIFS(MIS_Data[Achievement %],MIS_Data[Department],$A26,MIS_Data[City],MIS_Analysis!$B$7,MIS_Data[Month],MIS_Analysis!$B$8,MIS_Data[Channel],MIS_Analysis!$B$9),0)</f>
        <v>0.95167440619967525</v>
      </c>
      <c r="G26" s="11" t="s">
        <v>21</v>
      </c>
      <c r="H26" s="17">
        <f>SUMIFS(MIS_Data[Orders],MIS_Data[Channel],$G26,MIS_Data[Department],MIS_Analysis!$B$6,MIS_Data[City],MIS_Analysis!$B$7,MIS_Data[Month],MIS_Analysis!$B$8)</f>
        <v>1695</v>
      </c>
      <c r="I26" s="13">
        <f>SUMIFS(MIS_Data[Revenue],MIS_Data[Channel],$G26,MIS_Data[Department],MIS_Analysis!$B$6,MIS_Data[City],MIS_Analysis!$B$7,MIS_Data[Month],MIS_Analysis!$B$8)</f>
        <v>13150000</v>
      </c>
    </row>
    <row r="27" spans="1:9" x14ac:dyDescent="0.3">
      <c r="A27" s="11" t="s">
        <v>30</v>
      </c>
      <c r="B27" s="16">
        <f>IFERROR(AVERAGEIFS(MIS_Data[Achievement %],MIS_Data[Department],$A27,MIS_Data[City],MIS_Analysis!$B$7,MIS_Data[Month],MIS_Analysis!$B$8,MIS_Data[Channel],MIS_Analysis!$B$9),0)</f>
        <v>0.95694433017962433</v>
      </c>
      <c r="G27" s="11" t="s">
        <v>27</v>
      </c>
      <c r="H27" s="17">
        <f>SUMIFS(MIS_Data[Orders],MIS_Data[Channel],$G27,MIS_Data[Department],MIS_Analysis!$B$6,MIS_Data[City],MIS_Analysis!$B$7,MIS_Data[Month],MIS_Analysis!$B$8)</f>
        <v>1267</v>
      </c>
      <c r="I27" s="13">
        <f>SUMIFS(MIS_Data[Revenue],MIS_Data[Channel],$G27,MIS_Data[Department],MIS_Analysis!$B$6,MIS_Data[City],MIS_Analysis!$B$7,MIS_Data[Month],MIS_Analysis!$B$8)</f>
        <v>9890000</v>
      </c>
    </row>
    <row r="28" spans="1:9" x14ac:dyDescent="0.3">
      <c r="A28" s="11" t="s">
        <v>39</v>
      </c>
      <c r="B28" s="16">
        <f>IFERROR(AVERAGEIFS(MIS_Data[Achievement %],MIS_Data[Department],$A28,MIS_Data[City],MIS_Analysis!$B$7,MIS_Data[Month],MIS_Analysis!$B$8,MIS_Data[Channel],MIS_Analysis!$B$9),0)</f>
        <v>0.94921418526393331</v>
      </c>
      <c r="G28" s="11" t="s">
        <v>31</v>
      </c>
      <c r="H28" s="17">
        <f>SUMIFS(MIS_Data[Orders],MIS_Data[Channel],$G28,MIS_Data[Department],MIS_Analysis!$B$6,MIS_Data[City],MIS_Analysis!$B$7,MIS_Data[Month],MIS_Analysis!$B$8)</f>
        <v>486</v>
      </c>
      <c r="I28" s="13">
        <f>SUMIFS(MIS_Data[Revenue],MIS_Data[Channel],$G28,MIS_Data[Department],MIS_Analysis!$B$6,MIS_Data[City],MIS_Analysis!$B$7,MIS_Data[Month],MIS_Analysis!$B$8)</f>
        <v>2420000</v>
      </c>
    </row>
    <row r="29" spans="1:9" x14ac:dyDescent="0.3">
      <c r="G29" s="14" t="s">
        <v>106</v>
      </c>
      <c r="H29" s="18">
        <f>SUM(H26:H28)</f>
        <v>3448</v>
      </c>
      <c r="I29" s="15">
        <f>SUM(I26:I28)</f>
        <v>25460000</v>
      </c>
    </row>
    <row r="32" spans="1:9" x14ac:dyDescent="0.3">
      <c r="A32" s="7" t="s">
        <v>112</v>
      </c>
    </row>
    <row r="33" spans="1:2" x14ac:dyDescent="0.3">
      <c r="A33" s="8" t="s">
        <v>113</v>
      </c>
    </row>
    <row r="34" spans="1:2" x14ac:dyDescent="0.3">
      <c r="A34" s="12" t="s">
        <v>15</v>
      </c>
      <c r="B34" s="12" t="s">
        <v>114</v>
      </c>
    </row>
    <row r="35" spans="1:2" x14ac:dyDescent="0.3">
      <c r="A35" s="11" t="s">
        <v>115</v>
      </c>
      <c r="B35" s="11">
        <f>COUNTIFS(MIS_Data[Performance],$A35,MIS_Data[Department],MIS_Analysis!$B$6,MIS_Data[City],MIS_Analysis!$B$7,MIS_Data[Month],MIS_Analysis!$B$8,MIS_Data[Channel],MIS_Analysis!$B$9)</f>
        <v>0</v>
      </c>
    </row>
    <row r="36" spans="1:2" x14ac:dyDescent="0.3">
      <c r="A36" s="11" t="s">
        <v>116</v>
      </c>
      <c r="B36" s="11">
        <f>COUNTIFS(MIS_Data[Performance],$A36,MIS_Data[Department],MIS_Analysis!$B$6,MIS_Data[City],MIS_Analysis!$B$7,MIS_Data[Month],MIS_Analysis!$B$8,MIS_Data[Channel],MIS_Analysis!$B$9)</f>
        <v>30</v>
      </c>
    </row>
    <row r="37" spans="1:2" x14ac:dyDescent="0.3">
      <c r="A37" s="11" t="s">
        <v>117</v>
      </c>
      <c r="B37" s="11">
        <f>COUNTIFS(MIS_Data[Performance],$A37,MIS_Data[Department],MIS_Analysis!$B$6,MIS_Data[City],MIS_Analysis!$B$7,MIS_Data[Month],MIS_Analysis!$B$8,MIS_Data[Channel],MIS_Analysis!$B$9)</f>
        <v>0</v>
      </c>
    </row>
    <row r="38" spans="1:2" x14ac:dyDescent="0.3">
      <c r="A38" s="14" t="s">
        <v>106</v>
      </c>
      <c r="B38" s="14">
        <f>SUM(B35:B37)</f>
        <v>30</v>
      </c>
    </row>
  </sheetData>
  <mergeCells count="4">
    <mergeCell ref="D6:E6"/>
    <mergeCell ref="D7:E7"/>
    <mergeCell ref="D8:E8"/>
    <mergeCell ref="D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9"/>
  <sheetViews>
    <sheetView showGridLines="0" tabSelected="1" zoomScale="85" zoomScaleNormal="85" workbookViewId="0">
      <selection activeCell="U18" sqref="U18"/>
    </sheetView>
  </sheetViews>
  <sheetFormatPr defaultColWidth="8.6640625" defaultRowHeight="14.4" x14ac:dyDescent="0.3"/>
  <cols>
    <col min="1" max="1" width="2" customWidth="1"/>
    <col min="2" max="19" width="10.5546875" customWidth="1"/>
    <col min="20" max="20" width="2" customWidth="1"/>
  </cols>
  <sheetData>
    <row r="1" spans="1:20" ht="37.5" customHeight="1" x14ac:dyDescent="0.3">
      <c r="A1" s="19"/>
      <c r="B1" s="37" t="s">
        <v>118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19"/>
    </row>
    <row r="2" spans="1:20" x14ac:dyDescent="0.3">
      <c r="A2" s="19"/>
      <c r="B2" s="38" t="s">
        <v>119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19"/>
    </row>
    <row r="3" spans="1:20" x14ac:dyDescent="0.3">
      <c r="A3" s="19"/>
      <c r="B3" s="19"/>
      <c r="C3" s="20" t="s">
        <v>2</v>
      </c>
      <c r="D3" s="19"/>
      <c r="E3" s="19"/>
      <c r="F3" s="20" t="s">
        <v>3</v>
      </c>
      <c r="G3" s="19"/>
      <c r="H3" s="19"/>
      <c r="I3" s="20" t="s">
        <v>4</v>
      </c>
      <c r="J3" s="19"/>
      <c r="K3" s="19"/>
      <c r="L3" s="20" t="s">
        <v>5</v>
      </c>
      <c r="M3" s="19"/>
      <c r="N3" s="19"/>
      <c r="O3" s="19"/>
      <c r="P3" s="19"/>
      <c r="Q3" s="19"/>
      <c r="R3" s="19"/>
      <c r="S3" s="19"/>
      <c r="T3" s="19"/>
    </row>
    <row r="4" spans="1:20" x14ac:dyDescent="0.3">
      <c r="A4" s="19"/>
      <c r="B4" s="21" t="s">
        <v>120</v>
      </c>
      <c r="C4" s="39" t="s">
        <v>121</v>
      </c>
      <c r="D4" s="39"/>
      <c r="E4" s="19"/>
      <c r="F4" s="39" t="s">
        <v>121</v>
      </c>
      <c r="G4" s="39"/>
      <c r="H4" s="19"/>
      <c r="I4" s="39" t="s">
        <v>121</v>
      </c>
      <c r="J4" s="39"/>
      <c r="K4" s="19"/>
      <c r="L4" s="39" t="s">
        <v>121</v>
      </c>
      <c r="M4" s="39"/>
      <c r="N4" s="19"/>
      <c r="O4" s="22" t="s">
        <v>122</v>
      </c>
      <c r="P4" s="19"/>
      <c r="Q4" s="19"/>
      <c r="R4" s="19"/>
      <c r="S4" s="19"/>
      <c r="T4" s="19"/>
    </row>
    <row r="5" spans="1:20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21.75" customHeight="1" x14ac:dyDescent="0.3">
      <c r="A6" s="19"/>
      <c r="B6" s="40" t="s">
        <v>123</v>
      </c>
      <c r="C6" s="40"/>
      <c r="D6" s="40"/>
      <c r="E6" s="40" t="s">
        <v>124</v>
      </c>
      <c r="F6" s="40"/>
      <c r="G6" s="40"/>
      <c r="H6" s="40" t="s">
        <v>125</v>
      </c>
      <c r="I6" s="40"/>
      <c r="J6" s="40"/>
      <c r="K6" s="40" t="s">
        <v>126</v>
      </c>
      <c r="L6" s="40"/>
      <c r="M6" s="40"/>
      <c r="N6" s="40" t="s">
        <v>127</v>
      </c>
      <c r="O6" s="40"/>
      <c r="P6" s="40"/>
      <c r="Q6" s="40" t="s">
        <v>128</v>
      </c>
      <c r="R6" s="40"/>
      <c r="S6" s="40"/>
      <c r="T6" s="19"/>
    </row>
    <row r="7" spans="1:20" x14ac:dyDescent="0.3">
      <c r="A7" s="19"/>
      <c r="B7" s="33">
        <f>SUMIFS(MIS_Data[Revenue],MIS_Data[Department],MIS_Analysis!$B$6,MIS_Data[City],MIS_Analysis!$B$7,MIS_Data[Month],MIS_Analysis!$B$8,MIS_Data[Channel],MIS_Analysis!$B$9)</f>
        <v>25460000</v>
      </c>
      <c r="C7" s="33"/>
      <c r="D7" s="33"/>
      <c r="E7" s="33">
        <f>SUMIFS(MIS_Data[Actual_Sales],MIS_Data[Department],MIS_Analysis!$B$6,MIS_Data[City],MIS_Analysis!$B$7,MIS_Data[Month],MIS_Analysis!$B$8,MIS_Data[Channel],MIS_Analysis!$B$9)</f>
        <v>20540000</v>
      </c>
      <c r="F7" s="33"/>
      <c r="G7" s="33"/>
      <c r="H7" s="34">
        <f>SUMIFS(MIS_Data[Orders],MIS_Data[Department],MIS_Analysis!$B$6,MIS_Data[City],MIS_Analysis!$B$7,MIS_Data[Month],MIS_Analysis!$B$8,MIS_Data[Channel],MIS_Analysis!$B$9)</f>
        <v>3448</v>
      </c>
      <c r="I7" s="34"/>
      <c r="J7" s="34"/>
      <c r="K7" s="35">
        <f>IFERROR(AVERAGEIFS(MIS_Data[Achievement %],MIS_Data[Department],MIS_Analysis!$B$6,MIS_Data[City],MIS_Analysis!$B$7,MIS_Data[Month],MIS_Analysis!$B$8,MIS_Data[Channel],MIS_Analysis!$B$9),0)</f>
        <v>0.95204903327223589</v>
      </c>
      <c r="L7" s="35"/>
      <c r="M7" s="35"/>
      <c r="N7" s="34">
        <f>SUMIFS(MIS_Data[Returns],MIS_Data[Department],MIS_Analysis!$B$6,MIS_Data[City],MIS_Analysis!$B$7,MIS_Data[Month],MIS_Analysis!$B$8,MIS_Data[Channel],MIS_Analysis!$B$9)</f>
        <v>292</v>
      </c>
      <c r="O7" s="34"/>
      <c r="P7" s="34"/>
      <c r="Q7" s="34">
        <f>SUMIFS(MIS_Data[Complaints],MIS_Data[Department],MIS_Analysis!$B$6,MIS_Data[City],MIS_Analysis!$B$7,MIS_Data[Month],MIS_Analysis!$B$8,MIS_Data[Channel],MIS_Analysis!$B$9)</f>
        <v>220</v>
      </c>
      <c r="R7" s="34"/>
      <c r="S7" s="34"/>
      <c r="T7" s="19"/>
    </row>
    <row r="8" spans="1:20" x14ac:dyDescent="0.3">
      <c r="A8" s="19"/>
      <c r="B8" s="33"/>
      <c r="C8" s="33"/>
      <c r="D8" s="33"/>
      <c r="E8" s="33"/>
      <c r="F8" s="33"/>
      <c r="G8" s="33"/>
      <c r="H8" s="34"/>
      <c r="I8" s="34"/>
      <c r="J8" s="34"/>
      <c r="K8" s="35"/>
      <c r="L8" s="35"/>
      <c r="M8" s="35"/>
      <c r="N8" s="34"/>
      <c r="O8" s="34"/>
      <c r="P8" s="34"/>
      <c r="Q8" s="34"/>
      <c r="R8" s="34"/>
      <c r="S8" s="34"/>
      <c r="T8" s="19"/>
    </row>
    <row r="9" spans="1:20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5.6" x14ac:dyDescent="0.3">
      <c r="A10" s="19"/>
      <c r="B10" s="23" t="s">
        <v>129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5.6" x14ac:dyDescent="0.3">
      <c r="A41" s="19"/>
      <c r="B41" s="23" t="s">
        <v>130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x14ac:dyDescent="0.3">
      <c r="A42" s="19"/>
      <c r="B42" s="36" t="s">
        <v>131</v>
      </c>
      <c r="C42" s="36"/>
      <c r="D42" s="36" t="s">
        <v>2</v>
      </c>
      <c r="E42" s="36"/>
      <c r="F42" s="36" t="s">
        <v>3</v>
      </c>
      <c r="G42" s="36"/>
      <c r="H42" s="36" t="s">
        <v>7</v>
      </c>
      <c r="I42" s="36"/>
      <c r="J42" s="36" t="s">
        <v>132</v>
      </c>
      <c r="K42" s="36"/>
      <c r="L42" s="36" t="s">
        <v>12</v>
      </c>
      <c r="M42" s="36"/>
      <c r="N42" s="36" t="s">
        <v>15</v>
      </c>
      <c r="O42" s="36"/>
      <c r="P42" s="19"/>
      <c r="Q42" s="19"/>
      <c r="R42" s="19"/>
      <c r="S42" s="19"/>
      <c r="T42" s="19"/>
    </row>
    <row r="43" spans="1:20" x14ac:dyDescent="0.3">
      <c r="A43" s="19"/>
      <c r="B43" s="25" t="str">
        <f>INDEX(MIS_Data[Employee_Name],ROWS($B$43:$B43))</f>
        <v>Amit Sharma</v>
      </c>
      <c r="C43" s="25"/>
      <c r="D43" s="25" t="str">
        <f>INDEX(MIS_Data[Department],ROWS($B$43:$B43))</f>
        <v>Sales</v>
      </c>
      <c r="E43" s="25"/>
      <c r="F43" s="25" t="str">
        <f>INDEX(MIS_Data[City],ROWS($B$43:$B43))</f>
        <v>Pune</v>
      </c>
      <c r="G43" s="25"/>
      <c r="H43" s="26">
        <f>INDEX(MIS_Data[Revenue],ROWS($B$43:$B43))</f>
        <v>980000</v>
      </c>
      <c r="I43" s="26"/>
      <c r="J43" s="26">
        <f>INDEX(MIS_Data[Actual_Sales],ROWS($B$43:$B43))</f>
        <v>760000</v>
      </c>
      <c r="K43" s="26"/>
      <c r="L43" s="27">
        <f>INDEX(MIS_Data[Achievement %],ROWS($B$43:$B43))</f>
        <v>0.92682926829268297</v>
      </c>
      <c r="M43" s="27"/>
      <c r="N43" s="28" t="str">
        <f>INDEX(MIS_Data[Performance],ROWS($B$43:$B43))</f>
        <v>Good</v>
      </c>
      <c r="O43" s="28"/>
      <c r="P43" s="19"/>
      <c r="Q43" s="19"/>
      <c r="R43" s="19"/>
      <c r="S43" s="19"/>
      <c r="T43" s="19"/>
    </row>
    <row r="44" spans="1:20" x14ac:dyDescent="0.3">
      <c r="A44" s="19"/>
      <c r="B44" s="29" t="str">
        <f>INDEX(MIS_Data[Employee_Name],ROWS($B$43:$B44))</f>
        <v>Rahul Patil</v>
      </c>
      <c r="C44" s="29"/>
      <c r="D44" s="29" t="str">
        <f>INDEX(MIS_Data[Department],ROWS($B$43:$B44))</f>
        <v>Sales</v>
      </c>
      <c r="E44" s="29"/>
      <c r="F44" s="29" t="str">
        <f>INDEX(MIS_Data[City],ROWS($B$43:$B44))</f>
        <v>Mumbai</v>
      </c>
      <c r="G44" s="29"/>
      <c r="H44" s="30">
        <f>INDEX(MIS_Data[Revenue],ROWS($B$43:$B44))</f>
        <v>850000</v>
      </c>
      <c r="I44" s="30"/>
      <c r="J44" s="30">
        <f>INDEX(MIS_Data[Actual_Sales],ROWS($B$43:$B44))</f>
        <v>690000</v>
      </c>
      <c r="K44" s="30"/>
      <c r="L44" s="31">
        <f>INDEX(MIS_Data[Achievement %],ROWS($B$43:$B44))</f>
        <v>0.95833333333333337</v>
      </c>
      <c r="M44" s="31"/>
      <c r="N44" s="32" t="str">
        <f>INDEX(MIS_Data[Performance],ROWS($B$43:$B44))</f>
        <v>Good</v>
      </c>
      <c r="O44" s="32"/>
      <c r="P44" s="19"/>
      <c r="Q44" s="19"/>
      <c r="R44" s="19"/>
      <c r="S44" s="19"/>
      <c r="T44" s="19"/>
    </row>
    <row r="45" spans="1:20" x14ac:dyDescent="0.3">
      <c r="A45" s="19"/>
      <c r="B45" s="25" t="str">
        <f>INDEX(MIS_Data[Employee_Name],ROWS($B$43:$B45))</f>
        <v>Priya Shah</v>
      </c>
      <c r="C45" s="25"/>
      <c r="D45" s="25" t="str">
        <f>INDEX(MIS_Data[Department],ROWS($B$43:$B45))</f>
        <v>Sales</v>
      </c>
      <c r="E45" s="25"/>
      <c r="F45" s="25" t="str">
        <f>INDEX(MIS_Data[City],ROWS($B$43:$B45))</f>
        <v>Pune</v>
      </c>
      <c r="G45" s="25"/>
      <c r="H45" s="26">
        <f>INDEX(MIS_Data[Revenue],ROWS($B$43:$B45))</f>
        <v>1100000</v>
      </c>
      <c r="I45" s="26"/>
      <c r="J45" s="26">
        <f>INDEX(MIS_Data[Actual_Sales],ROWS($B$43:$B45))</f>
        <v>910000</v>
      </c>
      <c r="K45" s="26"/>
      <c r="L45" s="27">
        <f>INDEX(MIS_Data[Achievement %],ROWS($B$43:$B45))</f>
        <v>0.95789473684210524</v>
      </c>
      <c r="M45" s="27"/>
      <c r="N45" s="28" t="str">
        <f>INDEX(MIS_Data[Performance],ROWS($B$43:$B45))</f>
        <v>Good</v>
      </c>
      <c r="O45" s="28"/>
      <c r="P45" s="19"/>
      <c r="Q45" s="19"/>
      <c r="R45" s="19"/>
      <c r="S45" s="19"/>
      <c r="T45" s="19"/>
    </row>
    <row r="46" spans="1:20" x14ac:dyDescent="0.3">
      <c r="A46" s="19"/>
      <c r="B46" s="29" t="str">
        <f>INDEX(MIS_Data[Employee_Name],ROWS($B$43:$B46))</f>
        <v>Neha Joshi</v>
      </c>
      <c r="C46" s="29"/>
      <c r="D46" s="29" t="str">
        <f>INDEX(MIS_Data[Department],ROWS($B$43:$B46))</f>
        <v>HR</v>
      </c>
      <c r="E46" s="29"/>
      <c r="F46" s="29" t="str">
        <f>INDEX(MIS_Data[City],ROWS($B$43:$B46))</f>
        <v>Pune</v>
      </c>
      <c r="G46" s="29"/>
      <c r="H46" s="30">
        <f>INDEX(MIS_Data[Revenue],ROWS($B$43:$B46))</f>
        <v>300000</v>
      </c>
      <c r="I46" s="30"/>
      <c r="J46" s="30">
        <f>INDEX(MIS_Data[Actual_Sales],ROWS($B$43:$B46))</f>
        <v>240000</v>
      </c>
      <c r="K46" s="30"/>
      <c r="L46" s="31">
        <f>INDEX(MIS_Data[Achievement %],ROWS($B$43:$B46))</f>
        <v>0.96</v>
      </c>
      <c r="M46" s="31"/>
      <c r="N46" s="32" t="str">
        <f>INDEX(MIS_Data[Performance],ROWS($B$43:$B46))</f>
        <v>Good</v>
      </c>
      <c r="O46" s="32"/>
      <c r="P46" s="19"/>
      <c r="Q46" s="19"/>
      <c r="R46" s="19"/>
      <c r="S46" s="19"/>
      <c r="T46" s="19"/>
    </row>
    <row r="47" spans="1:20" x14ac:dyDescent="0.3">
      <c r="A47" s="19"/>
      <c r="B47" s="25" t="str">
        <f>INDEX(MIS_Data[Employee_Name],ROWS($B$43:$B47))</f>
        <v>Rohit Kulkarni</v>
      </c>
      <c r="C47" s="25"/>
      <c r="D47" s="25" t="str">
        <f>INDEX(MIS_Data[Department],ROWS($B$43:$B47))</f>
        <v>Sales</v>
      </c>
      <c r="E47" s="25"/>
      <c r="F47" s="25" t="str">
        <f>INDEX(MIS_Data[City],ROWS($B$43:$B47))</f>
        <v>Mumbai</v>
      </c>
      <c r="G47" s="25"/>
      <c r="H47" s="26">
        <f>INDEX(MIS_Data[Revenue],ROWS($B$43:$B47))</f>
        <v>1020000</v>
      </c>
      <c r="I47" s="26"/>
      <c r="J47" s="26">
        <f>INDEX(MIS_Data[Actual_Sales],ROWS($B$43:$B47))</f>
        <v>830000</v>
      </c>
      <c r="K47" s="26"/>
      <c r="L47" s="27">
        <f>INDEX(MIS_Data[Achievement %],ROWS($B$43:$B47))</f>
        <v>0.94318181818181823</v>
      </c>
      <c r="M47" s="27"/>
      <c r="N47" s="28" t="str">
        <f>INDEX(MIS_Data[Performance],ROWS($B$43:$B47))</f>
        <v>Good</v>
      </c>
      <c r="O47" s="28"/>
      <c r="P47" s="19"/>
      <c r="Q47" s="19"/>
      <c r="R47" s="19"/>
      <c r="S47" s="19"/>
      <c r="T47" s="19"/>
    </row>
    <row r="48" spans="1:20" x14ac:dyDescent="0.3">
      <c r="A48" s="19"/>
      <c r="B48" s="29" t="str">
        <f>INDEX(MIS_Data[Employee_Name],ROWS($B$43:$B48))</f>
        <v>Sneha Deshmukh</v>
      </c>
      <c r="C48" s="29"/>
      <c r="D48" s="29" t="str">
        <f>INDEX(MIS_Data[Department],ROWS($B$43:$B48))</f>
        <v>Sales</v>
      </c>
      <c r="E48" s="29"/>
      <c r="F48" s="29" t="str">
        <f>INDEX(MIS_Data[City],ROWS($B$43:$B48))</f>
        <v>Bangalore</v>
      </c>
      <c r="G48" s="29"/>
      <c r="H48" s="30">
        <f>INDEX(MIS_Data[Revenue],ROWS($B$43:$B48))</f>
        <v>790000</v>
      </c>
      <c r="I48" s="30"/>
      <c r="J48" s="30">
        <f>INDEX(MIS_Data[Actual_Sales],ROWS($B$43:$B48))</f>
        <v>610000</v>
      </c>
      <c r="K48" s="30"/>
      <c r="L48" s="31">
        <f>INDEX(MIS_Data[Achievement %],ROWS($B$43:$B48))</f>
        <v>0.93846153846153846</v>
      </c>
      <c r="M48" s="31"/>
      <c r="N48" s="32" t="str">
        <f>INDEX(MIS_Data[Performance],ROWS($B$43:$B48))</f>
        <v>Good</v>
      </c>
      <c r="O48" s="32"/>
      <c r="P48" s="19"/>
      <c r="Q48" s="19"/>
      <c r="R48" s="19"/>
      <c r="S48" s="19"/>
      <c r="T48" s="19"/>
    </row>
    <row r="49" spans="1:20" x14ac:dyDescent="0.3">
      <c r="A49" s="19"/>
      <c r="B49" s="25" t="str">
        <f>INDEX(MIS_Data[Employee_Name],ROWS($B$43:$B49))</f>
        <v>Karan Mehta</v>
      </c>
      <c r="C49" s="25"/>
      <c r="D49" s="25" t="str">
        <f>INDEX(MIS_Data[Department],ROWS($B$43:$B49))</f>
        <v>Finance</v>
      </c>
      <c r="E49" s="25"/>
      <c r="F49" s="25" t="str">
        <f>INDEX(MIS_Data[City],ROWS($B$43:$B49))</f>
        <v>Pune</v>
      </c>
      <c r="G49" s="25"/>
      <c r="H49" s="26">
        <f>INDEX(MIS_Data[Revenue],ROWS($B$43:$B49))</f>
        <v>280000</v>
      </c>
      <c r="I49" s="26"/>
      <c r="J49" s="26">
        <f>INDEX(MIS_Data[Actual_Sales],ROWS($B$43:$B49))</f>
        <v>220000</v>
      </c>
      <c r="K49" s="26"/>
      <c r="L49" s="27">
        <f>INDEX(MIS_Data[Achievement %],ROWS($B$43:$B49))</f>
        <v>0.95652173913043481</v>
      </c>
      <c r="M49" s="27"/>
      <c r="N49" s="28" t="str">
        <f>INDEX(MIS_Data[Performance],ROWS($B$43:$B49))</f>
        <v>Good</v>
      </c>
      <c r="O49" s="28"/>
      <c r="P49" s="19"/>
      <c r="Q49" s="19"/>
      <c r="R49" s="19"/>
      <c r="S49" s="19"/>
      <c r="T49" s="19"/>
    </row>
    <row r="50" spans="1:20" x14ac:dyDescent="0.3">
      <c r="A50" s="19"/>
      <c r="B50" s="29" t="str">
        <f>INDEX(MIS_Data[Employee_Name],ROWS($B$43:$B50))</f>
        <v>Pooja Verma</v>
      </c>
      <c r="C50" s="29"/>
      <c r="D50" s="29" t="str">
        <f>INDEX(MIS_Data[Department],ROWS($B$43:$B50))</f>
        <v>Sales</v>
      </c>
      <c r="E50" s="29"/>
      <c r="F50" s="29" t="str">
        <f>INDEX(MIS_Data[City],ROWS($B$43:$B50))</f>
        <v>Pune</v>
      </c>
      <c r="G50" s="29"/>
      <c r="H50" s="30">
        <f>INDEX(MIS_Data[Revenue],ROWS($B$43:$B50))</f>
        <v>1180000</v>
      </c>
      <c r="I50" s="30"/>
      <c r="J50" s="30">
        <f>INDEX(MIS_Data[Actual_Sales],ROWS($B$43:$B50))</f>
        <v>950000</v>
      </c>
      <c r="K50" s="30"/>
      <c r="L50" s="31">
        <f>INDEX(MIS_Data[Achievement %],ROWS($B$43:$B50))</f>
        <v>0.95</v>
      </c>
      <c r="M50" s="31"/>
      <c r="N50" s="32" t="str">
        <f>INDEX(MIS_Data[Performance],ROWS($B$43:$B50))</f>
        <v>Good</v>
      </c>
      <c r="O50" s="32"/>
      <c r="P50" s="19"/>
      <c r="Q50" s="19"/>
      <c r="R50" s="19"/>
      <c r="S50" s="19"/>
      <c r="T50" s="19"/>
    </row>
    <row r="51" spans="1:20" x14ac:dyDescent="0.3">
      <c r="A51" s="19"/>
      <c r="B51" s="25" t="str">
        <f>INDEX(MIS_Data[Employee_Name],ROWS($B$43:$B51))</f>
        <v>Vikas More</v>
      </c>
      <c r="C51" s="25"/>
      <c r="D51" s="25" t="str">
        <f>INDEX(MIS_Data[Department],ROWS($B$43:$B51))</f>
        <v>Sales</v>
      </c>
      <c r="E51" s="25"/>
      <c r="F51" s="25" t="str">
        <f>INDEX(MIS_Data[City],ROWS($B$43:$B51))</f>
        <v>Mumbai</v>
      </c>
      <c r="G51" s="25"/>
      <c r="H51" s="26">
        <f>INDEX(MIS_Data[Revenue],ROWS($B$43:$B51))</f>
        <v>920000</v>
      </c>
      <c r="I51" s="26"/>
      <c r="J51" s="26">
        <f>INDEX(MIS_Data[Actual_Sales],ROWS($B$43:$B51))</f>
        <v>735000</v>
      </c>
      <c r="K51" s="26"/>
      <c r="L51" s="27">
        <f>INDEX(MIS_Data[Achievement %],ROWS($B$43:$B51))</f>
        <v>0.94230769230769229</v>
      </c>
      <c r="M51" s="27"/>
      <c r="N51" s="28" t="str">
        <f>INDEX(MIS_Data[Performance],ROWS($B$43:$B51))</f>
        <v>Good</v>
      </c>
      <c r="O51" s="28"/>
      <c r="P51" s="19"/>
      <c r="Q51" s="19"/>
      <c r="R51" s="19"/>
      <c r="S51" s="19"/>
      <c r="T51" s="19"/>
    </row>
    <row r="52" spans="1:20" x14ac:dyDescent="0.3">
      <c r="A52" s="19"/>
      <c r="B52" s="29" t="str">
        <f>INDEX(MIS_Data[Employee_Name],ROWS($B$43:$B52))</f>
        <v>Anjali Rao</v>
      </c>
      <c r="C52" s="29"/>
      <c r="D52" s="29" t="str">
        <f>INDEX(MIS_Data[Department],ROWS($B$43:$B52))</f>
        <v>Sales</v>
      </c>
      <c r="E52" s="29"/>
      <c r="F52" s="29" t="str">
        <f>INDEX(MIS_Data[City],ROWS($B$43:$B52))</f>
        <v>Bangalore</v>
      </c>
      <c r="G52" s="29"/>
      <c r="H52" s="30">
        <f>INDEX(MIS_Data[Revenue],ROWS($B$43:$B52))</f>
        <v>870000</v>
      </c>
      <c r="I52" s="30"/>
      <c r="J52" s="30">
        <f>INDEX(MIS_Data[Actual_Sales],ROWS($B$43:$B52))</f>
        <v>700000</v>
      </c>
      <c r="K52" s="30"/>
      <c r="L52" s="31">
        <f>INDEX(MIS_Data[Achievement %],ROWS($B$43:$B52))</f>
        <v>0.95890410958904104</v>
      </c>
      <c r="M52" s="31"/>
      <c r="N52" s="32" t="str">
        <f>INDEX(MIS_Data[Performance],ROWS($B$43:$B52))</f>
        <v>Good</v>
      </c>
      <c r="O52" s="32"/>
      <c r="P52" s="19"/>
      <c r="Q52" s="19"/>
      <c r="R52" s="19"/>
      <c r="S52" s="19"/>
      <c r="T52" s="19"/>
    </row>
    <row r="53" spans="1:20" x14ac:dyDescent="0.3">
      <c r="A53" s="19"/>
      <c r="B53" s="25" t="str">
        <f>INDEX(MIS_Data[Employee_Name],ROWS($B$43:$B53))</f>
        <v>Sahil Khan</v>
      </c>
      <c r="C53" s="25"/>
      <c r="D53" s="25" t="str">
        <f>INDEX(MIS_Data[Department],ROWS($B$43:$B53))</f>
        <v>HR</v>
      </c>
      <c r="E53" s="25"/>
      <c r="F53" s="25" t="str">
        <f>INDEX(MIS_Data[City],ROWS($B$43:$B53))</f>
        <v>Mumbai</v>
      </c>
      <c r="G53" s="25"/>
      <c r="H53" s="26">
        <f>INDEX(MIS_Data[Revenue],ROWS($B$43:$B53))</f>
        <v>310000</v>
      </c>
      <c r="I53" s="26"/>
      <c r="J53" s="26">
        <f>INDEX(MIS_Data[Actual_Sales],ROWS($B$43:$B53))</f>
        <v>250000</v>
      </c>
      <c r="K53" s="26"/>
      <c r="L53" s="27">
        <f>INDEX(MIS_Data[Achievement %],ROWS($B$43:$B53))</f>
        <v>0.96153846153846156</v>
      </c>
      <c r="M53" s="27"/>
      <c r="N53" s="28" t="str">
        <f>INDEX(MIS_Data[Performance],ROWS($B$43:$B53))</f>
        <v>Good</v>
      </c>
      <c r="O53" s="28"/>
      <c r="P53" s="19"/>
      <c r="Q53" s="19"/>
      <c r="R53" s="19"/>
      <c r="S53" s="19"/>
      <c r="T53" s="19"/>
    </row>
    <row r="54" spans="1:20" x14ac:dyDescent="0.3">
      <c r="A54" s="19"/>
      <c r="B54" s="29" t="str">
        <f>INDEX(MIS_Data[Employee_Name],ROWS($B$43:$B54))</f>
        <v>Meera Iyer</v>
      </c>
      <c r="C54" s="29"/>
      <c r="D54" s="29" t="str">
        <f>INDEX(MIS_Data[Department],ROWS($B$43:$B54))</f>
        <v>Sales</v>
      </c>
      <c r="E54" s="29"/>
      <c r="F54" s="29" t="str">
        <f>INDEX(MIS_Data[City],ROWS($B$43:$B54))</f>
        <v>Pune</v>
      </c>
      <c r="G54" s="29"/>
      <c r="H54" s="30">
        <f>INDEX(MIS_Data[Revenue],ROWS($B$43:$B54))</f>
        <v>1130000</v>
      </c>
      <c r="I54" s="30"/>
      <c r="J54" s="30">
        <f>INDEX(MIS_Data[Actual_Sales],ROWS($B$43:$B54))</f>
        <v>920000</v>
      </c>
      <c r="K54" s="30"/>
      <c r="L54" s="31">
        <f>INDEX(MIS_Data[Achievement %],ROWS($B$43:$B54))</f>
        <v>0.94845360824742264</v>
      </c>
      <c r="M54" s="31"/>
      <c r="N54" s="32" t="str">
        <f>INDEX(MIS_Data[Performance],ROWS($B$43:$B54))</f>
        <v>Good</v>
      </c>
      <c r="O54" s="32"/>
      <c r="P54" s="19"/>
      <c r="Q54" s="19"/>
      <c r="R54" s="19"/>
      <c r="S54" s="19"/>
      <c r="T54" s="19"/>
    </row>
    <row r="55" spans="1:20" x14ac:dyDescent="0.3">
      <c r="A55" s="19"/>
      <c r="B55" s="25" t="str">
        <f>INDEX(MIS_Data[Employee_Name],ROWS($B$43:$B55))</f>
        <v>Arjun Singh</v>
      </c>
      <c r="C55" s="25"/>
      <c r="D55" s="25" t="str">
        <f>INDEX(MIS_Data[Department],ROWS($B$43:$B55))</f>
        <v>Finance</v>
      </c>
      <c r="E55" s="25"/>
      <c r="F55" s="25" t="str">
        <f>INDEX(MIS_Data[City],ROWS($B$43:$B55))</f>
        <v>Pune</v>
      </c>
      <c r="G55" s="25"/>
      <c r="H55" s="26">
        <f>INDEX(MIS_Data[Revenue],ROWS($B$43:$B55))</f>
        <v>290000</v>
      </c>
      <c r="I55" s="26"/>
      <c r="J55" s="26">
        <f>INDEX(MIS_Data[Actual_Sales],ROWS($B$43:$B55))</f>
        <v>228000</v>
      </c>
      <c r="K55" s="26"/>
      <c r="L55" s="27">
        <f>INDEX(MIS_Data[Achievement %],ROWS($B$43:$B55))</f>
        <v>0.95</v>
      </c>
      <c r="M55" s="27"/>
      <c r="N55" s="28" t="str">
        <f>INDEX(MIS_Data[Performance],ROWS($B$43:$B55))</f>
        <v>Good</v>
      </c>
      <c r="O55" s="28"/>
      <c r="P55" s="19"/>
      <c r="Q55" s="19"/>
      <c r="R55" s="19"/>
      <c r="S55" s="19"/>
      <c r="T55" s="19"/>
    </row>
    <row r="56" spans="1:20" x14ac:dyDescent="0.3">
      <c r="A56" s="19"/>
      <c r="B56" s="29" t="str">
        <f>INDEX(MIS_Data[Employee_Name],ROWS($B$43:$B56))</f>
        <v>Nikita Jadhav</v>
      </c>
      <c r="C56" s="29"/>
      <c r="D56" s="29" t="str">
        <f>INDEX(MIS_Data[Department],ROWS($B$43:$B56))</f>
        <v>Sales</v>
      </c>
      <c r="E56" s="29"/>
      <c r="F56" s="29" t="str">
        <f>INDEX(MIS_Data[City],ROWS($B$43:$B56))</f>
        <v>Mumbai</v>
      </c>
      <c r="G56" s="29"/>
      <c r="H56" s="30">
        <f>INDEX(MIS_Data[Revenue],ROWS($B$43:$B56))</f>
        <v>1050000</v>
      </c>
      <c r="I56" s="30"/>
      <c r="J56" s="30">
        <f>INDEX(MIS_Data[Actual_Sales],ROWS($B$43:$B56))</f>
        <v>860000</v>
      </c>
      <c r="K56" s="30"/>
      <c r="L56" s="31">
        <f>INDEX(MIS_Data[Achievement %],ROWS($B$43:$B56))</f>
        <v>0.9555555555555556</v>
      </c>
      <c r="M56" s="31"/>
      <c r="N56" s="32" t="str">
        <f>INDEX(MIS_Data[Performance],ROWS($B$43:$B56))</f>
        <v>Good</v>
      </c>
      <c r="O56" s="32"/>
      <c r="P56" s="19"/>
      <c r="Q56" s="19"/>
      <c r="R56" s="19"/>
      <c r="S56" s="19"/>
      <c r="T56" s="19"/>
    </row>
    <row r="57" spans="1:20" x14ac:dyDescent="0.3">
      <c r="A57" s="19"/>
      <c r="B57" s="25" t="str">
        <f>INDEX(MIS_Data[Employee_Name],ROWS($B$43:$B57))</f>
        <v>Aditya Pawar</v>
      </c>
      <c r="C57" s="25"/>
      <c r="D57" s="25" t="str">
        <f>INDEX(MIS_Data[Department],ROWS($B$43:$B57))</f>
        <v>Sales</v>
      </c>
      <c r="E57" s="25"/>
      <c r="F57" s="25" t="str">
        <f>INDEX(MIS_Data[City],ROWS($B$43:$B57))</f>
        <v>Pune</v>
      </c>
      <c r="G57" s="25"/>
      <c r="H57" s="26">
        <f>INDEX(MIS_Data[Revenue],ROWS($B$43:$B57))</f>
        <v>1210000</v>
      </c>
      <c r="I57" s="26"/>
      <c r="J57" s="26">
        <f>INDEX(MIS_Data[Actual_Sales],ROWS($B$43:$B57))</f>
        <v>980000</v>
      </c>
      <c r="K57" s="26"/>
      <c r="L57" s="27">
        <f>INDEX(MIS_Data[Achievement %],ROWS($B$43:$B57))</f>
        <v>0.95145631067961167</v>
      </c>
      <c r="M57" s="27"/>
      <c r="N57" s="28" t="str">
        <f>INDEX(MIS_Data[Performance],ROWS($B$43:$B57))</f>
        <v>Good</v>
      </c>
      <c r="O57" s="28"/>
      <c r="P57" s="19"/>
      <c r="Q57" s="19"/>
      <c r="R57" s="19"/>
      <c r="S57" s="19"/>
      <c r="T57" s="19"/>
    </row>
    <row r="58" spans="1:20" x14ac:dyDescent="0.3">
      <c r="A58" s="19"/>
      <c r="B58" s="29" t="str">
        <f>INDEX(MIS_Data[Employee_Name],ROWS($B$43:$B58))</f>
        <v>Riya Nair</v>
      </c>
      <c r="C58" s="29"/>
      <c r="D58" s="29" t="str">
        <f>INDEX(MIS_Data[Department],ROWS($B$43:$B58))</f>
        <v>Sales</v>
      </c>
      <c r="E58" s="29"/>
      <c r="F58" s="29" t="str">
        <f>INDEX(MIS_Data[City],ROWS($B$43:$B58))</f>
        <v>Bangalore</v>
      </c>
      <c r="G58" s="29"/>
      <c r="H58" s="30">
        <f>INDEX(MIS_Data[Revenue],ROWS($B$43:$B58))</f>
        <v>820000</v>
      </c>
      <c r="I58" s="30"/>
      <c r="J58" s="30">
        <f>INDEX(MIS_Data[Actual_Sales],ROWS($B$43:$B58))</f>
        <v>655000</v>
      </c>
      <c r="K58" s="30"/>
      <c r="L58" s="31">
        <f>INDEX(MIS_Data[Achievement %],ROWS($B$43:$B58))</f>
        <v>0.94927536231884058</v>
      </c>
      <c r="M58" s="31"/>
      <c r="N58" s="32" t="str">
        <f>INDEX(MIS_Data[Performance],ROWS($B$43:$B58))</f>
        <v>Good</v>
      </c>
      <c r="O58" s="32"/>
      <c r="P58" s="19"/>
      <c r="Q58" s="19"/>
      <c r="R58" s="19"/>
      <c r="S58" s="19"/>
      <c r="T58" s="19"/>
    </row>
    <row r="59" spans="1:20" x14ac:dyDescent="0.3">
      <c r="A59" s="19"/>
      <c r="B59" s="25" t="str">
        <f>INDEX(MIS_Data[Employee_Name],ROWS($B$43:$B59))</f>
        <v>Manish Gupta</v>
      </c>
      <c r="C59" s="25"/>
      <c r="D59" s="25" t="str">
        <f>INDEX(MIS_Data[Department],ROWS($B$43:$B59))</f>
        <v>HR</v>
      </c>
      <c r="E59" s="25"/>
      <c r="F59" s="25" t="str">
        <f>INDEX(MIS_Data[City],ROWS($B$43:$B59))</f>
        <v>Pune</v>
      </c>
      <c r="G59" s="25"/>
      <c r="H59" s="26">
        <f>INDEX(MIS_Data[Revenue],ROWS($B$43:$B59))</f>
        <v>305000</v>
      </c>
      <c r="I59" s="26"/>
      <c r="J59" s="26">
        <f>INDEX(MIS_Data[Actual_Sales],ROWS($B$43:$B59))</f>
        <v>245000</v>
      </c>
      <c r="K59" s="26"/>
      <c r="L59" s="27">
        <f>INDEX(MIS_Data[Achievement %],ROWS($B$43:$B59))</f>
        <v>0.96078431372549022</v>
      </c>
      <c r="M59" s="27"/>
      <c r="N59" s="28" t="str">
        <f>INDEX(MIS_Data[Performance],ROWS($B$43:$B59))</f>
        <v>Good</v>
      </c>
      <c r="O59" s="28"/>
      <c r="P59" s="19"/>
      <c r="Q59" s="19"/>
      <c r="R59" s="19"/>
      <c r="S59" s="19"/>
      <c r="T59" s="19"/>
    </row>
    <row r="60" spans="1:20" x14ac:dyDescent="0.3">
      <c r="A60" s="19"/>
      <c r="B60" s="29" t="str">
        <f>INDEX(MIS_Data[Employee_Name],ROWS($B$43:$B60))</f>
        <v>Tanvi Kulkarni</v>
      </c>
      <c r="C60" s="29"/>
      <c r="D60" s="29" t="str">
        <f>INDEX(MIS_Data[Department],ROWS($B$43:$B60))</f>
        <v>Sales</v>
      </c>
      <c r="E60" s="29"/>
      <c r="F60" s="29" t="str">
        <f>INDEX(MIS_Data[City],ROWS($B$43:$B60))</f>
        <v>Mumbai</v>
      </c>
      <c r="G60" s="29"/>
      <c r="H60" s="30">
        <f>INDEX(MIS_Data[Revenue],ROWS($B$43:$B60))</f>
        <v>990000</v>
      </c>
      <c r="I60" s="30"/>
      <c r="J60" s="30">
        <f>INDEX(MIS_Data[Actual_Sales],ROWS($B$43:$B60))</f>
        <v>800000</v>
      </c>
      <c r="K60" s="30"/>
      <c r="L60" s="31">
        <f>INDEX(MIS_Data[Achievement %],ROWS($B$43:$B60))</f>
        <v>0.95238095238095233</v>
      </c>
      <c r="M60" s="31"/>
      <c r="N60" s="32" t="str">
        <f>INDEX(MIS_Data[Performance],ROWS($B$43:$B60))</f>
        <v>Good</v>
      </c>
      <c r="O60" s="32"/>
      <c r="P60" s="19"/>
      <c r="Q60" s="19"/>
      <c r="R60" s="19"/>
      <c r="S60" s="19"/>
      <c r="T60" s="19"/>
    </row>
    <row r="61" spans="1:20" x14ac:dyDescent="0.3">
      <c r="A61" s="19"/>
      <c r="B61" s="25" t="str">
        <f>INDEX(MIS_Data[Employee_Name],ROWS($B$43:$B61))</f>
        <v>Akash Joshi</v>
      </c>
      <c r="C61" s="25"/>
      <c r="D61" s="25" t="str">
        <f>INDEX(MIS_Data[Department],ROWS($B$43:$B61))</f>
        <v>Finance</v>
      </c>
      <c r="E61" s="25"/>
      <c r="F61" s="25" t="str">
        <f>INDEX(MIS_Data[City],ROWS($B$43:$B61))</f>
        <v>Mumbai</v>
      </c>
      <c r="G61" s="25"/>
      <c r="H61" s="26">
        <f>INDEX(MIS_Data[Revenue],ROWS($B$43:$B61))</f>
        <v>295000</v>
      </c>
      <c r="I61" s="26"/>
      <c r="J61" s="26">
        <f>INDEX(MIS_Data[Actual_Sales],ROWS($B$43:$B61))</f>
        <v>232000</v>
      </c>
      <c r="K61" s="26"/>
      <c r="L61" s="27">
        <f>INDEX(MIS_Data[Achievement %],ROWS($B$43:$B61))</f>
        <v>0.94693877551020411</v>
      </c>
      <c r="M61" s="27"/>
      <c r="N61" s="28" t="str">
        <f>INDEX(MIS_Data[Performance],ROWS($B$43:$B61))</f>
        <v>Good</v>
      </c>
      <c r="O61" s="28"/>
      <c r="P61" s="19"/>
      <c r="Q61" s="19"/>
      <c r="R61" s="19"/>
      <c r="S61" s="19"/>
      <c r="T61" s="19"/>
    </row>
    <row r="62" spans="1:20" x14ac:dyDescent="0.3">
      <c r="A62" s="19"/>
      <c r="B62" s="29" t="str">
        <f>INDEX(MIS_Data[Employee_Name],ROWS($B$43:$B62))</f>
        <v>Divya Desai</v>
      </c>
      <c r="C62" s="29"/>
      <c r="D62" s="29" t="str">
        <f>INDEX(MIS_Data[Department],ROWS($B$43:$B62))</f>
        <v>Sales</v>
      </c>
      <c r="E62" s="29"/>
      <c r="F62" s="29" t="str">
        <f>INDEX(MIS_Data[City],ROWS($B$43:$B62))</f>
        <v>Pune</v>
      </c>
      <c r="G62" s="29"/>
      <c r="H62" s="30">
        <f>INDEX(MIS_Data[Revenue],ROWS($B$43:$B62))</f>
        <v>1160000</v>
      </c>
      <c r="I62" s="30"/>
      <c r="J62" s="30">
        <f>INDEX(MIS_Data[Actual_Sales],ROWS($B$43:$B62))</f>
        <v>945000</v>
      </c>
      <c r="K62" s="30"/>
      <c r="L62" s="31">
        <f>INDEX(MIS_Data[Achievement %],ROWS($B$43:$B62))</f>
        <v>0.95454545454545459</v>
      </c>
      <c r="M62" s="31"/>
      <c r="N62" s="32" t="str">
        <f>INDEX(MIS_Data[Performance],ROWS($B$43:$B62))</f>
        <v>Good</v>
      </c>
      <c r="O62" s="32"/>
      <c r="P62" s="19"/>
      <c r="Q62" s="19"/>
      <c r="R62" s="19"/>
      <c r="S62" s="19"/>
      <c r="T62" s="19"/>
    </row>
    <row r="63" spans="1:20" x14ac:dyDescent="0.3">
      <c r="A63" s="19"/>
      <c r="B63" s="25" t="str">
        <f>INDEX(MIS_Data[Employee_Name],ROWS($B$43:$B63))</f>
        <v>Rohan Deshpande</v>
      </c>
      <c r="C63" s="25"/>
      <c r="D63" s="25" t="str">
        <f>INDEX(MIS_Data[Department],ROWS($B$43:$B63))</f>
        <v>Sales</v>
      </c>
      <c r="E63" s="25"/>
      <c r="F63" s="25" t="str">
        <f>INDEX(MIS_Data[City],ROWS($B$43:$B63))</f>
        <v>Pune</v>
      </c>
      <c r="G63" s="25"/>
      <c r="H63" s="26">
        <f>INDEX(MIS_Data[Revenue],ROWS($B$43:$B63))</f>
        <v>1280000</v>
      </c>
      <c r="I63" s="26"/>
      <c r="J63" s="26">
        <f>INDEX(MIS_Data[Actual_Sales],ROWS($B$43:$B63))</f>
        <v>1030000</v>
      </c>
      <c r="K63" s="26"/>
      <c r="L63" s="27">
        <f>INDEX(MIS_Data[Achievement %],ROWS($B$43:$B63))</f>
        <v>0.95370370370370372</v>
      </c>
      <c r="M63" s="27"/>
      <c r="N63" s="28" t="str">
        <f>INDEX(MIS_Data[Performance],ROWS($B$43:$B63))</f>
        <v>Good</v>
      </c>
      <c r="O63" s="28"/>
      <c r="P63" s="19"/>
      <c r="Q63" s="19"/>
      <c r="R63" s="19"/>
      <c r="S63" s="19"/>
      <c r="T63" s="19"/>
    </row>
    <row r="64" spans="1:20" x14ac:dyDescent="0.3">
      <c r="A64" s="19"/>
      <c r="B64" s="29" t="str">
        <f>INDEX(MIS_Data[Employee_Name],ROWS($B$43:$B64))</f>
        <v>Kavya Nair</v>
      </c>
      <c r="C64" s="29"/>
      <c r="D64" s="29" t="str">
        <f>INDEX(MIS_Data[Department],ROWS($B$43:$B64))</f>
        <v>Sales</v>
      </c>
      <c r="E64" s="29"/>
      <c r="F64" s="29" t="str">
        <f>INDEX(MIS_Data[City],ROWS($B$43:$B64))</f>
        <v>Mumbai</v>
      </c>
      <c r="G64" s="29"/>
      <c r="H64" s="30">
        <f>INDEX(MIS_Data[Revenue],ROWS($B$43:$B64))</f>
        <v>1010000</v>
      </c>
      <c r="I64" s="30"/>
      <c r="J64" s="30">
        <f>INDEX(MIS_Data[Actual_Sales],ROWS($B$43:$B64))</f>
        <v>820000</v>
      </c>
      <c r="K64" s="30"/>
      <c r="L64" s="31">
        <f>INDEX(MIS_Data[Achievement %],ROWS($B$43:$B64))</f>
        <v>0.95348837209302328</v>
      </c>
      <c r="M64" s="31"/>
      <c r="N64" s="32" t="str">
        <f>INDEX(MIS_Data[Performance],ROWS($B$43:$B64))</f>
        <v>Good</v>
      </c>
      <c r="O64" s="32"/>
      <c r="P64" s="19"/>
      <c r="Q64" s="19"/>
      <c r="R64" s="19"/>
      <c r="S64" s="19"/>
      <c r="T64" s="19"/>
    </row>
    <row r="65" spans="1:20" x14ac:dyDescent="0.3">
      <c r="A65" s="19"/>
      <c r="B65" s="25" t="str">
        <f>INDEX(MIS_Data[Employee_Name],ROWS($B$43:$B65))</f>
        <v>Varun Shah</v>
      </c>
      <c r="C65" s="25"/>
      <c r="D65" s="25" t="str">
        <f>INDEX(MIS_Data[Department],ROWS($B$43:$B65))</f>
        <v>Sales</v>
      </c>
      <c r="E65" s="25"/>
      <c r="F65" s="25" t="str">
        <f>INDEX(MIS_Data[City],ROWS($B$43:$B65))</f>
        <v>Bangalore</v>
      </c>
      <c r="G65" s="25"/>
      <c r="H65" s="26">
        <f>INDEX(MIS_Data[Revenue],ROWS($B$43:$B65))</f>
        <v>900000</v>
      </c>
      <c r="I65" s="26"/>
      <c r="J65" s="26">
        <f>INDEX(MIS_Data[Actual_Sales],ROWS($B$43:$B65))</f>
        <v>725000</v>
      </c>
      <c r="K65" s="26"/>
      <c r="L65" s="27">
        <f>INDEX(MIS_Data[Achievement %],ROWS($B$43:$B65))</f>
        <v>0.95394736842105265</v>
      </c>
      <c r="M65" s="27"/>
      <c r="N65" s="28" t="str">
        <f>INDEX(MIS_Data[Performance],ROWS($B$43:$B65))</f>
        <v>Good</v>
      </c>
      <c r="O65" s="28"/>
      <c r="P65" s="19"/>
      <c r="Q65" s="19"/>
      <c r="R65" s="19"/>
      <c r="S65" s="19"/>
      <c r="T65" s="19"/>
    </row>
    <row r="66" spans="1:20" x14ac:dyDescent="0.3">
      <c r="A66" s="19"/>
      <c r="B66" s="29" t="str">
        <f>INDEX(MIS_Data[Employee_Name],ROWS($B$43:$B66))</f>
        <v>Simran Kaur</v>
      </c>
      <c r="C66" s="29"/>
      <c r="D66" s="29" t="str">
        <f>INDEX(MIS_Data[Department],ROWS($B$43:$B66))</f>
        <v>HR</v>
      </c>
      <c r="E66" s="29"/>
      <c r="F66" s="29" t="str">
        <f>INDEX(MIS_Data[City],ROWS($B$43:$B66))</f>
        <v>Mumbai</v>
      </c>
      <c r="G66" s="29"/>
      <c r="H66" s="30">
        <f>INDEX(MIS_Data[Revenue],ROWS($B$43:$B66))</f>
        <v>325000</v>
      </c>
      <c r="I66" s="30"/>
      <c r="J66" s="30">
        <f>INDEX(MIS_Data[Actual_Sales],ROWS($B$43:$B66))</f>
        <v>260000</v>
      </c>
      <c r="K66" s="30"/>
      <c r="L66" s="31">
        <f>INDEX(MIS_Data[Achievement %],ROWS($B$43:$B66))</f>
        <v>0.94545454545454544</v>
      </c>
      <c r="M66" s="31"/>
      <c r="N66" s="32" t="str">
        <f>INDEX(MIS_Data[Performance],ROWS($B$43:$B66))</f>
        <v>Good</v>
      </c>
      <c r="O66" s="32"/>
      <c r="P66" s="19"/>
      <c r="Q66" s="19"/>
      <c r="R66" s="19"/>
      <c r="S66" s="19"/>
      <c r="T66" s="19"/>
    </row>
    <row r="67" spans="1:20" x14ac:dyDescent="0.3">
      <c r="A67" s="19"/>
      <c r="B67" s="25" t="str">
        <f>INDEX(MIS_Data[Employee_Name],ROWS($B$43:$B67))</f>
        <v>Dev Malhotra</v>
      </c>
      <c r="C67" s="25"/>
      <c r="D67" s="25" t="str">
        <f>INDEX(MIS_Data[Department],ROWS($B$43:$B67))</f>
        <v>Sales</v>
      </c>
      <c r="E67" s="25"/>
      <c r="F67" s="25" t="str">
        <f>INDEX(MIS_Data[City],ROWS($B$43:$B67))</f>
        <v>Pune</v>
      </c>
      <c r="G67" s="25"/>
      <c r="H67" s="26">
        <f>INDEX(MIS_Data[Revenue],ROWS($B$43:$B67))</f>
        <v>1190000</v>
      </c>
      <c r="I67" s="26"/>
      <c r="J67" s="26">
        <f>INDEX(MIS_Data[Actual_Sales],ROWS($B$43:$B67))</f>
        <v>970000</v>
      </c>
      <c r="K67" s="26"/>
      <c r="L67" s="27">
        <f>INDEX(MIS_Data[Achievement %],ROWS($B$43:$B67))</f>
        <v>0.96039603960396036</v>
      </c>
      <c r="M67" s="27"/>
      <c r="N67" s="28" t="str">
        <f>INDEX(MIS_Data[Performance],ROWS($B$43:$B67))</f>
        <v>Good</v>
      </c>
      <c r="O67" s="28"/>
      <c r="P67" s="19"/>
      <c r="Q67" s="19"/>
      <c r="R67" s="19"/>
      <c r="S67" s="19"/>
      <c r="T67" s="19"/>
    </row>
    <row r="68" spans="1:20" x14ac:dyDescent="0.3">
      <c r="A68" s="19"/>
      <c r="B68" s="29" t="str">
        <f>INDEX(MIS_Data[Employee_Name],ROWS($B$43:$B68))</f>
        <v>Ishita Rao</v>
      </c>
      <c r="C68" s="29"/>
      <c r="D68" s="29" t="str">
        <f>INDEX(MIS_Data[Department],ROWS($B$43:$B68))</f>
        <v>Finance</v>
      </c>
      <c r="E68" s="29"/>
      <c r="F68" s="29" t="str">
        <f>INDEX(MIS_Data[City],ROWS($B$43:$B68))</f>
        <v>Pune</v>
      </c>
      <c r="G68" s="29"/>
      <c r="H68" s="30">
        <f>INDEX(MIS_Data[Revenue],ROWS($B$43:$B68))</f>
        <v>315000</v>
      </c>
      <c r="I68" s="30"/>
      <c r="J68" s="30">
        <f>INDEX(MIS_Data[Actual_Sales],ROWS($B$43:$B68))</f>
        <v>250000</v>
      </c>
      <c r="K68" s="30"/>
      <c r="L68" s="31">
        <f>INDEX(MIS_Data[Achievement %],ROWS($B$43:$B68))</f>
        <v>0.94339622641509435</v>
      </c>
      <c r="M68" s="31"/>
      <c r="N68" s="32" t="str">
        <f>INDEX(MIS_Data[Performance],ROWS($B$43:$B68))</f>
        <v>Good</v>
      </c>
      <c r="O68" s="32"/>
      <c r="P68" s="19"/>
      <c r="Q68" s="19"/>
      <c r="R68" s="19"/>
      <c r="S68" s="19"/>
      <c r="T68" s="19"/>
    </row>
    <row r="69" spans="1:20" x14ac:dyDescent="0.3">
      <c r="A69" s="19"/>
      <c r="B69" s="25" t="str">
        <f>INDEX(MIS_Data[Employee_Name],ROWS($B$43:$B69))</f>
        <v>Manav Patil</v>
      </c>
      <c r="C69" s="25"/>
      <c r="D69" s="25" t="str">
        <f>INDEX(MIS_Data[Department],ROWS($B$43:$B69))</f>
        <v>Sales</v>
      </c>
      <c r="E69" s="25"/>
      <c r="F69" s="25" t="str">
        <f>INDEX(MIS_Data[City],ROWS($B$43:$B69))</f>
        <v>Mumbai</v>
      </c>
      <c r="G69" s="25"/>
      <c r="H69" s="26">
        <f>INDEX(MIS_Data[Revenue],ROWS($B$43:$B69))</f>
        <v>1090000</v>
      </c>
      <c r="I69" s="26"/>
      <c r="J69" s="26">
        <f>INDEX(MIS_Data[Actual_Sales],ROWS($B$43:$B69))</f>
        <v>880000</v>
      </c>
      <c r="K69" s="26"/>
      <c r="L69" s="27">
        <f>INDEX(MIS_Data[Achievement %],ROWS($B$43:$B69))</f>
        <v>0.95652173913043481</v>
      </c>
      <c r="M69" s="27"/>
      <c r="N69" s="28" t="str">
        <f>INDEX(MIS_Data[Performance],ROWS($B$43:$B69))</f>
        <v>Good</v>
      </c>
      <c r="O69" s="28"/>
      <c r="P69" s="19"/>
      <c r="Q69" s="19"/>
      <c r="R69" s="19"/>
      <c r="S69" s="19"/>
      <c r="T69" s="19"/>
    </row>
    <row r="70" spans="1:20" x14ac:dyDescent="0.3">
      <c r="A70" s="19"/>
      <c r="B70" s="29" t="str">
        <f>INDEX(MIS_Data[Employee_Name],ROWS($B$43:$B70))</f>
        <v>Shreya Joshi</v>
      </c>
      <c r="C70" s="29"/>
      <c r="D70" s="29" t="str">
        <f>INDEX(MIS_Data[Department],ROWS($B$43:$B70))</f>
        <v>Sales</v>
      </c>
      <c r="E70" s="29"/>
      <c r="F70" s="29" t="str">
        <f>INDEX(MIS_Data[City],ROWS($B$43:$B70))</f>
        <v>Pune</v>
      </c>
      <c r="G70" s="29"/>
      <c r="H70" s="30">
        <f>INDEX(MIS_Data[Revenue],ROWS($B$43:$B70))</f>
        <v>1320000</v>
      </c>
      <c r="I70" s="30"/>
      <c r="J70" s="30">
        <f>INDEX(MIS_Data[Actual_Sales],ROWS($B$43:$B70))</f>
        <v>1080000</v>
      </c>
      <c r="K70" s="30"/>
      <c r="L70" s="31">
        <f>INDEX(MIS_Data[Achievement %],ROWS($B$43:$B70))</f>
        <v>0.9642857142857143</v>
      </c>
      <c r="M70" s="31"/>
      <c r="N70" s="32" t="str">
        <f>INDEX(MIS_Data[Performance],ROWS($B$43:$B70))</f>
        <v>Good</v>
      </c>
      <c r="O70" s="32"/>
      <c r="P70" s="19"/>
      <c r="Q70" s="19"/>
      <c r="R70" s="19"/>
      <c r="S70" s="19"/>
      <c r="T70" s="19"/>
    </row>
    <row r="71" spans="1:20" x14ac:dyDescent="0.3">
      <c r="A71" s="19"/>
      <c r="B71" s="25" t="str">
        <f>INDEX(MIS_Data[Employee_Name],ROWS($B$43:$B71))</f>
        <v>Nikhil Verma</v>
      </c>
      <c r="C71" s="25"/>
      <c r="D71" s="25" t="str">
        <f>INDEX(MIS_Data[Department],ROWS($B$43:$B71))</f>
        <v>Sales</v>
      </c>
      <c r="E71" s="25"/>
      <c r="F71" s="25" t="str">
        <f>INDEX(MIS_Data[City],ROWS($B$43:$B71))</f>
        <v>Bangalore</v>
      </c>
      <c r="G71" s="25"/>
      <c r="H71" s="26">
        <f>INDEX(MIS_Data[Revenue],ROWS($B$43:$B71))</f>
        <v>930000</v>
      </c>
      <c r="I71" s="26"/>
      <c r="J71" s="26">
        <f>INDEX(MIS_Data[Actual_Sales],ROWS($B$43:$B71))</f>
        <v>750000</v>
      </c>
      <c r="K71" s="26"/>
      <c r="L71" s="27">
        <f>INDEX(MIS_Data[Achievement %],ROWS($B$43:$B71))</f>
        <v>0.94936708860759489</v>
      </c>
      <c r="M71" s="27"/>
      <c r="N71" s="28" t="str">
        <f>INDEX(MIS_Data[Performance],ROWS($B$43:$B71))</f>
        <v>Good</v>
      </c>
      <c r="O71" s="28"/>
      <c r="P71" s="19"/>
      <c r="Q71" s="19"/>
      <c r="R71" s="19"/>
      <c r="S71" s="19"/>
      <c r="T71" s="19"/>
    </row>
    <row r="72" spans="1:20" x14ac:dyDescent="0.3">
      <c r="A72" s="19"/>
      <c r="B72" s="29" t="str">
        <f>INDEX(MIS_Data[Employee_Name],ROWS($B$43:$B72))</f>
        <v>Ananya Mehta</v>
      </c>
      <c r="C72" s="29"/>
      <c r="D72" s="29" t="str">
        <f>INDEX(MIS_Data[Department],ROWS($B$43:$B72))</f>
        <v>Sales</v>
      </c>
      <c r="E72" s="29"/>
      <c r="F72" s="29" t="str">
        <f>INDEX(MIS_Data[City],ROWS($B$43:$B72))</f>
        <v>Pune</v>
      </c>
      <c r="G72" s="29"/>
      <c r="H72" s="30">
        <f>INDEX(MIS_Data[Revenue],ROWS($B$43:$B72))</f>
        <v>1250000</v>
      </c>
      <c r="I72" s="30"/>
      <c r="J72" s="30">
        <f>INDEX(MIS_Data[Actual_Sales],ROWS($B$43:$B72))</f>
        <v>1015000</v>
      </c>
      <c r="K72" s="30"/>
      <c r="L72" s="31">
        <f>INDEX(MIS_Data[Achievement %],ROWS($B$43:$B72))</f>
        <v>0.95754716981132071</v>
      </c>
      <c r="M72" s="31"/>
      <c r="N72" s="32" t="str">
        <f>INDEX(MIS_Data[Performance],ROWS($B$43:$B72))</f>
        <v>Good</v>
      </c>
      <c r="O72" s="32"/>
      <c r="P72" s="19"/>
      <c r="Q72" s="19"/>
      <c r="R72" s="19"/>
      <c r="S72" s="19"/>
      <c r="T72" s="19"/>
    </row>
    <row r="73" spans="1:20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x14ac:dyDescent="0.3">
      <c r="A74" s="19"/>
      <c r="B74" s="22" t="s">
        <v>133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</sheetData>
  <mergeCells count="235">
    <mergeCell ref="B1:S1"/>
    <mergeCell ref="B2:S2"/>
    <mergeCell ref="C4:D4"/>
    <mergeCell ref="F4:G4"/>
    <mergeCell ref="I4:J4"/>
    <mergeCell ref="L4:M4"/>
    <mergeCell ref="B6:D6"/>
    <mergeCell ref="E6:G6"/>
    <mergeCell ref="H6:J6"/>
    <mergeCell ref="K6:M6"/>
    <mergeCell ref="N6:P6"/>
    <mergeCell ref="Q6:S6"/>
    <mergeCell ref="B7:D8"/>
    <mergeCell ref="E7:G8"/>
    <mergeCell ref="H7:J8"/>
    <mergeCell ref="K7:M8"/>
    <mergeCell ref="N7:P8"/>
    <mergeCell ref="Q7:S8"/>
    <mergeCell ref="B42:C42"/>
    <mergeCell ref="D42:E42"/>
    <mergeCell ref="F42:G42"/>
    <mergeCell ref="H42:I42"/>
    <mergeCell ref="J42:K42"/>
    <mergeCell ref="L42:M42"/>
    <mergeCell ref="N42:O42"/>
    <mergeCell ref="B43:C43"/>
    <mergeCell ref="D43:E43"/>
    <mergeCell ref="F43:G43"/>
    <mergeCell ref="H43:I43"/>
    <mergeCell ref="J43:K43"/>
    <mergeCell ref="L43:M43"/>
    <mergeCell ref="N43:O43"/>
    <mergeCell ref="B44:C44"/>
    <mergeCell ref="D44:E44"/>
    <mergeCell ref="F44:G44"/>
    <mergeCell ref="H44:I44"/>
    <mergeCell ref="J44:K44"/>
    <mergeCell ref="L44:M44"/>
    <mergeCell ref="N44:O44"/>
    <mergeCell ref="B45:C45"/>
    <mergeCell ref="D45:E45"/>
    <mergeCell ref="F45:G45"/>
    <mergeCell ref="H45:I45"/>
    <mergeCell ref="J45:K45"/>
    <mergeCell ref="L45:M45"/>
    <mergeCell ref="N45:O45"/>
    <mergeCell ref="B46:C46"/>
    <mergeCell ref="D46:E46"/>
    <mergeCell ref="F46:G46"/>
    <mergeCell ref="H46:I46"/>
    <mergeCell ref="J46:K46"/>
    <mergeCell ref="L46:M46"/>
    <mergeCell ref="N46:O46"/>
    <mergeCell ref="B47:C47"/>
    <mergeCell ref="D47:E47"/>
    <mergeCell ref="F47:G47"/>
    <mergeCell ref="H47:I47"/>
    <mergeCell ref="J47:K47"/>
    <mergeCell ref="L47:M47"/>
    <mergeCell ref="N47:O47"/>
    <mergeCell ref="B48:C48"/>
    <mergeCell ref="D48:E48"/>
    <mergeCell ref="F48:G48"/>
    <mergeCell ref="H48:I48"/>
    <mergeCell ref="J48:K48"/>
    <mergeCell ref="L48:M48"/>
    <mergeCell ref="N48:O48"/>
    <mergeCell ref="B49:C49"/>
    <mergeCell ref="D49:E49"/>
    <mergeCell ref="F49:G49"/>
    <mergeCell ref="H49:I49"/>
    <mergeCell ref="J49:K49"/>
    <mergeCell ref="L49:M49"/>
    <mergeCell ref="N49:O49"/>
    <mergeCell ref="B50:C50"/>
    <mergeCell ref="D50:E50"/>
    <mergeCell ref="F50:G50"/>
    <mergeCell ref="H50:I50"/>
    <mergeCell ref="J50:K50"/>
    <mergeCell ref="L50:M50"/>
    <mergeCell ref="N50:O50"/>
    <mergeCell ref="B51:C51"/>
    <mergeCell ref="D51:E51"/>
    <mergeCell ref="F51:G51"/>
    <mergeCell ref="H51:I51"/>
    <mergeCell ref="J51:K51"/>
    <mergeCell ref="L51:M51"/>
    <mergeCell ref="N51:O51"/>
    <mergeCell ref="B52:C52"/>
    <mergeCell ref="D52:E52"/>
    <mergeCell ref="F52:G52"/>
    <mergeCell ref="H52:I52"/>
    <mergeCell ref="J52:K52"/>
    <mergeCell ref="L52:M52"/>
    <mergeCell ref="N52:O52"/>
    <mergeCell ref="B53:C53"/>
    <mergeCell ref="D53:E53"/>
    <mergeCell ref="F53:G53"/>
    <mergeCell ref="H53:I53"/>
    <mergeCell ref="J53:K53"/>
    <mergeCell ref="L53:M53"/>
    <mergeCell ref="N53:O53"/>
    <mergeCell ref="B54:C54"/>
    <mergeCell ref="D54:E54"/>
    <mergeCell ref="F54:G54"/>
    <mergeCell ref="H54:I54"/>
    <mergeCell ref="J54:K54"/>
    <mergeCell ref="L54:M54"/>
    <mergeCell ref="N54:O54"/>
    <mergeCell ref="B55:C55"/>
    <mergeCell ref="D55:E55"/>
    <mergeCell ref="F55:G55"/>
    <mergeCell ref="H55:I55"/>
    <mergeCell ref="J55:K55"/>
    <mergeCell ref="L55:M55"/>
    <mergeCell ref="N55:O55"/>
    <mergeCell ref="B56:C56"/>
    <mergeCell ref="D56:E56"/>
    <mergeCell ref="F56:G56"/>
    <mergeCell ref="H56:I56"/>
    <mergeCell ref="J56:K56"/>
    <mergeCell ref="L56:M56"/>
    <mergeCell ref="N56:O56"/>
    <mergeCell ref="B57:C57"/>
    <mergeCell ref="D57:E57"/>
    <mergeCell ref="F57:G57"/>
    <mergeCell ref="H57:I57"/>
    <mergeCell ref="J57:K57"/>
    <mergeCell ref="L57:M57"/>
    <mergeCell ref="N57:O57"/>
    <mergeCell ref="B58:C58"/>
    <mergeCell ref="D58:E58"/>
    <mergeCell ref="F58:G58"/>
    <mergeCell ref="H58:I58"/>
    <mergeCell ref="J58:K58"/>
    <mergeCell ref="L58:M58"/>
    <mergeCell ref="N58:O58"/>
    <mergeCell ref="B59:C59"/>
    <mergeCell ref="D59:E59"/>
    <mergeCell ref="F59:G59"/>
    <mergeCell ref="H59:I59"/>
    <mergeCell ref="J59:K59"/>
    <mergeCell ref="L59:M59"/>
    <mergeCell ref="N59:O59"/>
    <mergeCell ref="B60:C60"/>
    <mergeCell ref="D60:E60"/>
    <mergeCell ref="F60:G60"/>
    <mergeCell ref="H60:I60"/>
    <mergeCell ref="J60:K60"/>
    <mergeCell ref="L60:M60"/>
    <mergeCell ref="N60:O60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B63:C63"/>
    <mergeCell ref="D63:E63"/>
    <mergeCell ref="F63:G63"/>
    <mergeCell ref="H63:I63"/>
    <mergeCell ref="J63:K63"/>
    <mergeCell ref="L63:M63"/>
    <mergeCell ref="N63:O63"/>
    <mergeCell ref="B64:C64"/>
    <mergeCell ref="D64:E64"/>
    <mergeCell ref="F64:G64"/>
    <mergeCell ref="H64:I64"/>
    <mergeCell ref="J64:K64"/>
    <mergeCell ref="L64:M64"/>
    <mergeCell ref="N64:O64"/>
    <mergeCell ref="B65:C65"/>
    <mergeCell ref="D65:E65"/>
    <mergeCell ref="F65:G65"/>
    <mergeCell ref="H65:I65"/>
    <mergeCell ref="J65:K65"/>
    <mergeCell ref="L65:M65"/>
    <mergeCell ref="N65:O65"/>
    <mergeCell ref="B66:C66"/>
    <mergeCell ref="D66:E66"/>
    <mergeCell ref="F66:G66"/>
    <mergeCell ref="H66:I66"/>
    <mergeCell ref="J66:K66"/>
    <mergeCell ref="L66:M66"/>
    <mergeCell ref="N66:O66"/>
    <mergeCell ref="B67:C67"/>
    <mergeCell ref="D67:E67"/>
    <mergeCell ref="F67:G67"/>
    <mergeCell ref="H67:I67"/>
    <mergeCell ref="J67:K67"/>
    <mergeCell ref="L67:M67"/>
    <mergeCell ref="N67:O67"/>
    <mergeCell ref="B68:C68"/>
    <mergeCell ref="D68:E68"/>
    <mergeCell ref="F68:G68"/>
    <mergeCell ref="H68:I68"/>
    <mergeCell ref="J68:K68"/>
    <mergeCell ref="L68:M68"/>
    <mergeCell ref="N68:O68"/>
    <mergeCell ref="B69:C69"/>
    <mergeCell ref="D69:E69"/>
    <mergeCell ref="F69:G69"/>
    <mergeCell ref="H69:I69"/>
    <mergeCell ref="J69:K69"/>
    <mergeCell ref="L69:M69"/>
    <mergeCell ref="N69:O69"/>
    <mergeCell ref="B70:C70"/>
    <mergeCell ref="D70:E70"/>
    <mergeCell ref="F70:G70"/>
    <mergeCell ref="H70:I70"/>
    <mergeCell ref="J70:K70"/>
    <mergeCell ref="L70:M70"/>
    <mergeCell ref="N70:O70"/>
    <mergeCell ref="B71:C71"/>
    <mergeCell ref="D71:E71"/>
    <mergeCell ref="F71:G71"/>
    <mergeCell ref="H71:I71"/>
    <mergeCell ref="J71:K71"/>
    <mergeCell ref="L71:M71"/>
    <mergeCell ref="N71:O71"/>
    <mergeCell ref="B72:C72"/>
    <mergeCell ref="D72:E72"/>
    <mergeCell ref="F72:G72"/>
    <mergeCell ref="H72:I72"/>
    <mergeCell ref="J72:K72"/>
    <mergeCell ref="L72:M72"/>
    <mergeCell ref="N72:O72"/>
  </mergeCells>
  <conditionalFormatting sqref="L43:M72">
    <cfRule type="cellIs" dxfId="3" priority="2" operator="greaterThanOrEqual">
      <formula>1</formula>
    </cfRule>
    <cfRule type="cellIs" dxfId="2" priority="3" operator="between">
      <formula>0.9</formula>
      <formula>0.99999</formula>
    </cfRule>
    <cfRule type="cellIs" dxfId="1" priority="4" operator="lessThan">
      <formula>0.9</formula>
    </cfRule>
  </conditionalFormatting>
  <dataValidations count="4">
    <dataValidation type="list" sqref="C4" xr:uid="{00000000-0002-0000-0200-000000000000}">
      <formula1>"All,Sales,HR,Finance"</formula1>
      <formula2>0</formula2>
    </dataValidation>
    <dataValidation type="list" sqref="F4" xr:uid="{00000000-0002-0000-0200-000001000000}">
      <formula1>"All,Pune,Mumbai,Bangalore"</formula1>
      <formula2>0</formula2>
    </dataValidation>
    <dataValidation type="list" sqref="I4" xr:uid="{00000000-0002-0000-0200-000002000000}">
      <formula1>"All,Jan,Feb,Mar,Apr,May"</formula1>
      <formula2>0</formula2>
    </dataValidation>
    <dataValidation type="list" sqref="L4" xr:uid="{00000000-0002-0000-0200-000003000000}">
      <formula1>"All,Online,Retail,Internal"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MIS_Data</vt:lpstr>
      <vt:lpstr>MIS_Analysis</vt:lpstr>
      <vt:lpstr>MIS_Dashboard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Jawanjal</cp:lastModifiedBy>
  <cp:revision>1</cp:revision>
  <dcterms:created xsi:type="dcterms:W3CDTF">2026-09-30T09:48:54Z</dcterms:created>
  <dcterms:modified xsi:type="dcterms:W3CDTF">2026-09-30T09:58:36Z</dcterms:modified>
  <dc:language>en-US</dc:language>
</cp:coreProperties>
</file>